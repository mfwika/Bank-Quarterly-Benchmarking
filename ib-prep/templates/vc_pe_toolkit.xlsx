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VC Method" sheetId="2" state="visible" r:id="rId4"/>
    <sheet name="Cap Table" sheetId="3" state="visible" r:id="rId5"/>
    <sheet name="Exit Waterfall" sheetId="4" state="visible" r:id="rId6"/>
    <sheet name="PE Fund Waterfal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<sst xmlns="http://schemas.openxmlformats.org/spreadsheetml/2006/main" count="133" uniqueCount="120">
  <si>
    <t xml:space="preserve">Venture Capital &amp; Private Equity Toolkit</t>
  </si>
  <si>
    <t xml:space="preserve">IB Prep Studio practice template. Source: illustrative figures for a fictional company (ExampleCo). Replace with real filings (10-K / annual report).</t>
  </si>
  <si>
    <t xml:space="preserve">What this model does</t>
  </si>
  <si>
    <t xml:space="preserve">1. VC Method: works back from an exit value and a target return to the post-money and pre-money valuation, adjusted for future dilution.</t>
  </si>
  <si>
    <t xml:space="preserve">2. Cap Table: a Series A round with an option pool created pre-money (the 'option pool shuffle'), share price and ownership before and after.</t>
  </si>
  <si>
    <t xml:space="preserve">3. Exit Waterfall: payouts to Series A (1x non-participating liquidation preference), founders, seed investors and option holders at different exit values.</t>
  </si>
  <si>
    <t xml:space="preserve">4. PE Fund Waterfall: a European (whole-fund) distribution waterfall: return of capital, 8% preferred return, GP catch-up and 80/20 carried interest.</t>
  </si>
  <si>
    <t xml:space="preserve">How to use it</t>
  </si>
  <si>
    <t xml:space="preserve">1. Each sheet is self-contained except the Exit Waterfall, which links (green) to the Cap Table.</t>
  </si>
  <si>
    <t xml:space="preserve">2. Change the yellow inputs and follow the formulas down the page.</t>
  </si>
  <si>
    <t xml:space="preserve">3. Then rebuild each sheet from a blank page. These four calculations come up often in VC and PE interviews and case studies.</t>
  </si>
  <si>
    <t xml:space="preserve">Practice drills</t>
  </si>
  <si>
    <t xml:space="preserve">1. VC Method: raise the target IRR from 40% to 50%. How much does the pre-money fall?</t>
  </si>
  <si>
    <t xml:space="preserve">2. Cap Table: change the target option pool from 15% to 20%. Who pays for the bigger pool: founders or the new investor?</t>
  </si>
  <si>
    <t xml:space="preserve">3. Exit Waterfall: find the exit value where Series A is indifferent between converting and taking its preference.</t>
  </si>
  <si>
    <t xml:space="preserve">4. Exit Waterfall: make the preference 2x. How do founders' payouts change in a small exit vs a large one?</t>
  </si>
  <si>
    <t xml:space="preserve">5. Fund Waterfall: set total proceeds to 110. Does the GP earn any carry? Why not?</t>
  </si>
  <si>
    <t xml:space="preserve">Colour legend</t>
  </si>
  <si>
    <t xml:space="preserve">1. Blue text = hard-coded input. Yellow fill = key assumption you are meant to change.</t>
  </si>
  <si>
    <t xml:space="preserve">2. Black text = formula. Never type over a black cell.</t>
  </si>
  <si>
    <t xml:space="preserve">3. Green text = link pulling a value from another sheet.</t>
  </si>
  <si>
    <t xml:space="preserve">4. Negative numbers show in (parentheses); zeros show as '-'.</t>
  </si>
  <si>
    <t xml:space="preserve">Input example</t>
  </si>
  <si>
    <t xml:space="preserve">Key assumption example</t>
  </si>
  <si>
    <t xml:space="preserve">Formula example</t>
  </si>
  <si>
    <t xml:space="preserve">Link example</t>
  </si>
  <si>
    <t xml:space="preserve">VC Method Valuation</t>
  </si>
  <si>
    <t xml:space="preserve">($ in millions)   Source: illustrative figures for a fictional company (ExampleCo). Replace with real filings (10-K / annual report).</t>
  </si>
  <si>
    <t xml:space="preserve">Legend: blue = input, yellow fill = key assumption to change, black = formula, green = link to another sheet.</t>
  </si>
  <si>
    <t xml:space="preserve">INPUTS</t>
  </si>
  <si>
    <t xml:space="preserve">Investment amount</t>
  </si>
  <si>
    <t xml:space="preserve">Revenue in exit year</t>
  </si>
  <si>
    <t xml:space="preserve">Exit EV / revenue multiple</t>
  </si>
  <si>
    <t xml:space="preserve">Years to exit</t>
  </si>
  <si>
    <t xml:space="preserve">Target IRR</t>
  </si>
  <si>
    <t xml:space="preserve">Expected dilution from future rounds</t>
  </si>
  <si>
    <t xml:space="preserve">VALUATION</t>
  </si>
  <si>
    <t xml:space="preserve">Exit value</t>
  </si>
  <si>
    <t xml:space="preserve">Required MOIC = (1 + IRR) ^ years</t>
  </si>
  <si>
    <t xml:space="preserve">Post-money before dilution = exit value / MOIC</t>
  </si>
  <si>
    <t xml:space="preserve">Retention ratio = 1 - future dilution</t>
  </si>
  <si>
    <t xml:space="preserve">Post-money valuation (dilution-adjusted)</t>
  </si>
  <si>
    <t xml:space="preserve">Pre-money valuation</t>
  </si>
  <si>
    <t xml:space="preserve">Ownership required at close</t>
  </si>
  <si>
    <t xml:space="preserve">Ownership at exit (after dilution)</t>
  </si>
  <si>
    <t xml:space="preserve">Check: value of stake at exit / investment</t>
  </si>
  <si>
    <t xml:space="preserve">The check should equal the required MOIC.</t>
  </si>
  <si>
    <t xml:space="preserve">SENSITIVITY: PRE-MONEY VALUATION  (rows = target IRR, columns = exit EV/revenue)</t>
  </si>
  <si>
    <t xml:space="preserve">Series A Cap Table (option pool created pre-money)</t>
  </si>
  <si>
    <t xml:space="preserve">(shares in millions, $ in millions except price per share)   Source: illustrative figures for a fictional company (ExampleCo). Replace with real filings (10-K / annual report).</t>
  </si>
  <si>
    <t xml:space="preserve">Founder shares</t>
  </si>
  <si>
    <t xml:space="preserve">Existing option pool shares</t>
  </si>
  <si>
    <t xml:space="preserve">Seed investor shares</t>
  </si>
  <si>
    <t xml:space="preserve">Series A pre-money valuation</t>
  </si>
  <si>
    <t xml:space="preserve">Series A investment</t>
  </si>
  <si>
    <t xml:space="preserve">Target option pool, % of post-money</t>
  </si>
  <si>
    <t xml:space="preserve">ROUND MECHANICS</t>
  </si>
  <si>
    <t xml:space="preserve">Existing fully diluted shares</t>
  </si>
  <si>
    <t xml:space="preserve">Series A ownership post-money = investment / post-money</t>
  </si>
  <si>
    <t xml:space="preserve">Post-money fully diluted shares</t>
  </si>
  <si>
    <t xml:space="preserve">New option pool shares (added pre-money)</t>
  </si>
  <si>
    <t xml:space="preserve">Price per share ($)</t>
  </si>
  <si>
    <t xml:space="preserve">Series A shares issued</t>
  </si>
  <si>
    <t xml:space="preserve">Effective pre-money for existing holders (price x existing shares)</t>
  </si>
  <si>
    <t xml:space="preserve">Check: shares add up</t>
  </si>
  <si>
    <t xml:space="preserve">Target pool must be larger than the existing pool. The headline pre-money includes the new pool, so existing holders effectively get the lower 'effective' pre-money.</t>
  </si>
  <si>
    <t xml:space="preserve">Holder</t>
  </si>
  <si>
    <t xml:space="preserve">Pre-round shares</t>
  </si>
  <si>
    <t xml:space="preserve">Pre-round %</t>
  </si>
  <si>
    <t xml:space="preserve">Post-round shares</t>
  </si>
  <si>
    <t xml:space="preserve">Post-round %</t>
  </si>
  <si>
    <t xml:space="preserve">Value at post ($mm)</t>
  </si>
  <si>
    <t xml:space="preserve">Founders</t>
  </si>
  <si>
    <t xml:space="preserve">Seed investor</t>
  </si>
  <si>
    <t xml:space="preserve">Option pool (existing + new)</t>
  </si>
  <si>
    <t xml:space="preserve">Series A investor</t>
  </si>
  <si>
    <t xml:space="preserve">Total</t>
  </si>
  <si>
    <t xml:space="preserve">Check: total value = post-money</t>
  </si>
  <si>
    <t xml:space="preserve">Exit Waterfall: 1x Non-Participating Preferred</t>
  </si>
  <si>
    <t xml:space="preserve">Liquidation preference multiple (x invested)</t>
  </si>
  <si>
    <t xml:space="preserve">Series A invested</t>
  </si>
  <si>
    <t xml:space="preserve">Series A shares</t>
  </si>
  <si>
    <t xml:space="preserve">Total fully diluted shares</t>
  </si>
  <si>
    <t xml:space="preserve">Seed shares</t>
  </si>
  <si>
    <t xml:space="preserve">Option pool shares</t>
  </si>
  <si>
    <t xml:space="preserve">Preference amount</t>
  </si>
  <si>
    <t xml:space="preserve">Series A as-converted ownership</t>
  </si>
  <si>
    <t xml:space="preserve">Exit value above which Series A converts</t>
  </si>
  <si>
    <t xml:space="preserve">PAYOUTS BY EXIT VALUE</t>
  </si>
  <si>
    <t xml:space="preserve">Exit equity value</t>
  </si>
  <si>
    <t xml:space="preserve">Series A decision</t>
  </si>
  <si>
    <t xml:space="preserve">Series A payout</t>
  </si>
  <si>
    <t xml:space="preserve">Left for other holders</t>
  </si>
  <si>
    <t xml:space="preserve">Option holders</t>
  </si>
  <si>
    <t xml:space="preserve">Total distributed</t>
  </si>
  <si>
    <t xml:space="preserve">Series A MOIC</t>
  </si>
  <si>
    <t xml:space="preserve">Check</t>
  </si>
  <si>
    <t xml:space="preserve">Simplification: all options are treated as granted and exercised, ignoring strike prices; one preferred class only.</t>
  </si>
  <si>
    <t xml:space="preserve">PE Fund Distribution Waterfall (European / whole-fund)</t>
  </si>
  <si>
    <t xml:space="preserve">LP capital contributed</t>
  </si>
  <si>
    <t xml:space="preserve">Total proceeds to distribute</t>
  </si>
  <si>
    <t xml:space="preserve">Holding period (years, single exit)</t>
  </si>
  <si>
    <t xml:space="preserve">Preferred return (hurdle)</t>
  </si>
  <si>
    <t xml:space="preserve">Carried interest</t>
  </si>
  <si>
    <t xml:space="preserve">GP catch-up (% of distributions in that tier)</t>
  </si>
  <si>
    <t xml:space="preserve">WATERFALL</t>
  </si>
  <si>
    <t xml:space="preserve">To LPs</t>
  </si>
  <si>
    <t xml:space="preserve">To GP</t>
  </si>
  <si>
    <t xml:space="preserve">1. Return of capital</t>
  </si>
  <si>
    <t xml:space="preserve">2. Preferred return (compounded)</t>
  </si>
  <si>
    <t xml:space="preserve">3. GP catch-up</t>
  </si>
  <si>
    <t xml:space="preserve">4. Remaining split (LP / GP)</t>
  </si>
  <si>
    <t xml:space="preserve">Check: total = proceeds</t>
  </si>
  <si>
    <t xml:space="preserve">RETURNS</t>
  </si>
  <si>
    <t xml:space="preserve">Gross MOIC (before carry)</t>
  </si>
  <si>
    <t xml:space="preserve">Gross IRR</t>
  </si>
  <si>
    <t xml:space="preserve">LP net MOIC</t>
  </si>
  <si>
    <t xml:space="preserve">LP net IRR</t>
  </si>
  <si>
    <t xml:space="preserve">GP share of total profit</t>
  </si>
  <si>
    <t xml:space="preserve">Catch-up must be larger than the carry rate. Management fees are ignored.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</si>
</sst>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_);\(#,##0.0\);\-_)"/>
    <numFmt numFmtId="166" formatCode="0.0\x_);\(0.0&quot;x)&quot;;\-_)"/>
    <numFmt numFmtId="167" formatCode="#,##0_);\(#,##0\);\-_)"/>
    <numFmt numFmtId="168" formatCode="0.0%_);\(0.0%\);\-_)"/>
    <numFmt numFmtId="169" formatCode="\$#,##0.00_);&quot;($&quot;#,##0.00\);\-_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3122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A3122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3122A"/>
        <bgColor rgb="FF800000"/>
      </patternFill>
    </fill>
    <fill>
      <patternFill patternType="solid">
        <fgColor rgb="FFF2F2F2"/>
        <bgColor rgb="FFFCE4E8"/>
      </patternFill>
    </fill>
    <fill>
      <patternFill patternType="solid">
        <fgColor rgb="FFFCE4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2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23.85" hidden="false" customHeight="false" outlineLevel="0" collapsed="false">
      <c r="B6" s="4" t="s">
        <v>4</v>
      </c>
    </row>
    <row r="7" customFormat="false" ht="23.85" hidden="false" customHeight="false" outlineLevel="0" collapsed="false">
      <c r="B7" s="4" t="s">
        <v>5</v>
      </c>
    </row>
    <row r="8" customFormat="false" ht="23.85" hidden="false" customHeight="false" outlineLevel="0" collapsed="false">
      <c r="B8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6" t="s">
        <v>23</v>
      </c>
    </row>
    <row r="30" customFormat="false" ht="15" hidden="false" customHeight="false" outlineLevel="0" collapsed="false">
      <c r="B30" s="7" t="s">
        <v>24</v>
      </c>
    </row>
    <row r="31" customFormat="false" ht="15" hidden="false" customHeight="false" outlineLevel="0" collapsed="false">
      <c r="B3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3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9"/>
    </row>
    <row r="6" customFormat="false" ht="15" hidden="false" customHeight="false" outlineLevel="0" collapsed="false">
      <c r="A6" s="0" t="s">
        <v>30</v>
      </c>
      <c r="B6" s="10" t="n">
        <v>5</v>
      </c>
    </row>
    <row r="7" customFormat="false" ht="15" hidden="false" customHeight="false" outlineLevel="0" collapsed="false">
      <c r="A7" s="0" t="s">
        <v>31</v>
      </c>
      <c r="B7" s="10" t="n">
        <v>60</v>
      </c>
    </row>
    <row r="8" customFormat="false" ht="15" hidden="false" customHeight="false" outlineLevel="0" collapsed="false">
      <c r="A8" s="0" t="s">
        <v>32</v>
      </c>
      <c r="B8" s="11" t="n">
        <v>5</v>
      </c>
    </row>
    <row r="9" customFormat="false" ht="15" hidden="false" customHeight="false" outlineLevel="0" collapsed="false">
      <c r="A9" s="0" t="s">
        <v>33</v>
      </c>
      <c r="B9" s="12" t="n">
        <v>6</v>
      </c>
    </row>
    <row r="10" customFormat="false" ht="15" hidden="false" customHeight="false" outlineLevel="0" collapsed="false">
      <c r="A10" s="0" t="s">
        <v>34</v>
      </c>
      <c r="B10" s="13" t="n">
        <v>0.4</v>
      </c>
    </row>
    <row r="11" customFormat="false" ht="15" hidden="false" customHeight="false" outlineLevel="0" collapsed="false">
      <c r="A11" s="0" t="s">
        <v>35</v>
      </c>
      <c r="B11" s="13" t="n">
        <v>0.3</v>
      </c>
    </row>
    <row r="13" customFormat="false" ht="15" hidden="false" customHeight="false" outlineLevel="0" collapsed="false">
      <c r="A13" s="9" t="s">
        <v>36</v>
      </c>
      <c r="B13" s="9"/>
    </row>
    <row r="14" customFormat="false" ht="15" hidden="false" customHeight="false" outlineLevel="0" collapsed="false">
      <c r="A14" s="0" t="s">
        <v>37</v>
      </c>
      <c r="B14" s="14" t="n">
        <f aca="false">B7*B8</f>
        <v>300</v>
      </c>
    </row>
    <row r="15" customFormat="false" ht="15" hidden="false" customHeight="false" outlineLevel="0" collapsed="false">
      <c r="A15" s="0" t="s">
        <v>38</v>
      </c>
      <c r="B15" s="15" t="n">
        <f aca="false">(1+B10)^B9</f>
        <v>7.529536</v>
      </c>
    </row>
    <row r="16" customFormat="false" ht="15" hidden="false" customHeight="false" outlineLevel="0" collapsed="false">
      <c r="A16" s="0" t="s">
        <v>39</v>
      </c>
      <c r="B16" s="14" t="n">
        <f aca="false">B14/B15</f>
        <v>39.8430925889723</v>
      </c>
    </row>
    <row r="17" customFormat="false" ht="15" hidden="false" customHeight="false" outlineLevel="0" collapsed="false">
      <c r="A17" s="0" t="s">
        <v>40</v>
      </c>
      <c r="B17" s="16" t="n">
        <f aca="false">1-B11</f>
        <v>0.7</v>
      </c>
    </row>
    <row r="18" customFormat="false" ht="15" hidden="false" customHeight="false" outlineLevel="0" collapsed="false">
      <c r="A18" s="0" t="s">
        <v>41</v>
      </c>
      <c r="B18" s="17" t="n">
        <f aca="false">B16*B17</f>
        <v>27.8901648122806</v>
      </c>
    </row>
    <row r="19" customFormat="false" ht="15" hidden="false" customHeight="false" outlineLevel="0" collapsed="false">
      <c r="A19" s="0" t="s">
        <v>42</v>
      </c>
      <c r="B19" s="17" t="n">
        <f aca="false">B18-B6</f>
        <v>22.8901648122806</v>
      </c>
    </row>
    <row r="20" customFormat="false" ht="15" hidden="false" customHeight="false" outlineLevel="0" collapsed="false">
      <c r="A20" s="0" t="s">
        <v>43</v>
      </c>
      <c r="B20" s="18" t="n">
        <f aca="false">B6/B18</f>
        <v>0.179274666666667</v>
      </c>
    </row>
    <row r="21" customFormat="false" ht="15" hidden="false" customHeight="false" outlineLevel="0" collapsed="false">
      <c r="A21" s="0" t="s">
        <v>44</v>
      </c>
      <c r="B21" s="16" t="n">
        <f aca="false">B20*B17</f>
        <v>0.125492266666667</v>
      </c>
    </row>
    <row r="22" customFormat="false" ht="15" hidden="false" customHeight="false" outlineLevel="0" collapsed="false">
      <c r="A22" s="0" t="s">
        <v>45</v>
      </c>
      <c r="B22" s="15" t="n">
        <f aca="false">B21*B14/B6</f>
        <v>7.529536</v>
      </c>
    </row>
    <row r="23" customFormat="false" ht="15" hidden="false" customHeight="false" outlineLevel="0" collapsed="false">
      <c r="A23" s="2" t="s">
        <v>46</v>
      </c>
    </row>
    <row r="25" customFormat="false" ht="15" hidden="false" customHeight="false" outlineLevel="0" collapsed="false">
      <c r="A25" s="9" t="s">
        <v>47</v>
      </c>
      <c r="B25" s="9"/>
      <c r="C25" s="9"/>
      <c r="D25" s="9"/>
      <c r="E25" s="9"/>
      <c r="F25" s="9"/>
    </row>
    <row r="26" customFormat="false" ht="15" hidden="false" customHeight="false" outlineLevel="0" collapsed="false">
      <c r="B26" s="19" t="n">
        <f aca="false">MAX(0.5,$B$8+(-2))</f>
        <v>3</v>
      </c>
      <c r="C26" s="19" t="n">
        <f aca="false">MAX(0.5,$B$8+(-1))</f>
        <v>4</v>
      </c>
      <c r="D26" s="19" t="n">
        <f aca="false">MAX(0.5,$B$8+(0))</f>
        <v>5</v>
      </c>
      <c r="E26" s="19" t="n">
        <f aca="false">MAX(0.5,$B$8+(1))</f>
        <v>6</v>
      </c>
      <c r="F26" s="19" t="n">
        <f aca="false">MAX(0.5,$B$8+(2))</f>
        <v>7</v>
      </c>
    </row>
    <row r="27" customFormat="false" ht="15" hidden="false" customHeight="false" outlineLevel="0" collapsed="false">
      <c r="A27" s="20" t="n">
        <f aca="false">$B$10+(-0.1)</f>
        <v>0.3</v>
      </c>
      <c r="B27" s="14" t="n">
        <f aca="false">$B$7*B$26/(1+$A27)^$B$9*(1-$B$11)-$B$6</f>
        <v>21.1042025901584</v>
      </c>
      <c r="C27" s="14" t="n">
        <f aca="false">$B$7*C$26/(1+$A27)^$B$9*(1-$B$11)-$B$6</f>
        <v>29.8056034535446</v>
      </c>
      <c r="D27" s="14" t="n">
        <f aca="false">$B$7*D$26/(1+$A27)^$B$9*(1-$B$11)-$B$6</f>
        <v>38.5070043169307</v>
      </c>
      <c r="E27" s="14" t="n">
        <f aca="false">$B$7*E$26/(1+$A27)^$B$9*(1-$B$11)-$B$6</f>
        <v>47.2084051803168</v>
      </c>
      <c r="F27" s="14" t="n">
        <f aca="false">$B$7*F$26/(1+$A27)^$B$9*(1-$B$11)-$B$6</f>
        <v>55.909806043703</v>
      </c>
    </row>
    <row r="28" customFormat="false" ht="15" hidden="false" customHeight="false" outlineLevel="0" collapsed="false">
      <c r="A28" s="20" t="n">
        <f aca="false">$B$10+(-0.05)</f>
        <v>0.35</v>
      </c>
      <c r="B28" s="14" t="n">
        <f aca="false">$B$7*B$26/(1+$A28)^$B$9*(1-$B$11)-$B$6</f>
        <v>15.8145935203752</v>
      </c>
      <c r="C28" s="14" t="n">
        <f aca="false">$B$7*C$26/(1+$A28)^$B$9*(1-$B$11)-$B$6</f>
        <v>22.7527913605003</v>
      </c>
      <c r="D28" s="14" t="n">
        <f aca="false">$B$7*D$26/(1+$A28)^$B$9*(1-$B$11)-$B$6</f>
        <v>29.6909892006254</v>
      </c>
      <c r="E28" s="14" t="n">
        <f aca="false">$B$7*E$26/(1+$A28)^$B$9*(1-$B$11)-$B$6</f>
        <v>36.6291870407504</v>
      </c>
      <c r="F28" s="14" t="n">
        <f aca="false">$B$7*F$26/(1+$A28)^$B$9*(1-$B$11)-$B$6</f>
        <v>43.5673848808755</v>
      </c>
    </row>
    <row r="29" customFormat="false" ht="15" hidden="false" customHeight="false" outlineLevel="0" collapsed="false">
      <c r="A29" s="20" t="n">
        <f aca="false">$B$10+(0)</f>
        <v>0.4</v>
      </c>
      <c r="B29" s="14" t="n">
        <f aca="false">$B$7*B$26/(1+$A29)^$B$9*(1-$B$11)-$B$6</f>
        <v>11.7340988873684</v>
      </c>
      <c r="C29" s="14" t="n">
        <f aca="false">$B$7*C$26/(1+$A29)^$B$9*(1-$B$11)-$B$6</f>
        <v>17.3121318498245</v>
      </c>
      <c r="D29" s="21" t="n">
        <f aca="false">$B$7*D$26/(1+$A29)^$B$9*(1-$B$11)-$B$6</f>
        <v>22.8901648122806</v>
      </c>
      <c r="E29" s="14" t="n">
        <f aca="false">$B$7*E$26/(1+$A29)^$B$9*(1-$B$11)-$B$6</f>
        <v>28.4681977747367</v>
      </c>
      <c r="F29" s="14" t="n">
        <f aca="false">$B$7*F$26/(1+$A29)^$B$9*(1-$B$11)-$B$6</f>
        <v>34.0462307371928</v>
      </c>
    </row>
    <row r="30" customFormat="false" ht="15" hidden="false" customHeight="false" outlineLevel="0" collapsed="false">
      <c r="A30" s="20" t="n">
        <f aca="false">$B$10+(0.05)</f>
        <v>0.45</v>
      </c>
      <c r="B30" s="14" t="n">
        <f aca="false">$B$7*B$26/(1+$A30)^$B$9*(1-$B$11)-$B$6</f>
        <v>8.55696677534942</v>
      </c>
      <c r="C30" s="14" t="n">
        <f aca="false">$B$7*C$26/(1+$A30)^$B$9*(1-$B$11)-$B$6</f>
        <v>13.0759557004659</v>
      </c>
      <c r="D30" s="14" t="n">
        <f aca="false">$B$7*D$26/(1+$A30)^$B$9*(1-$B$11)-$B$6</f>
        <v>17.5949446255824</v>
      </c>
      <c r="E30" s="14" t="n">
        <f aca="false">$B$7*E$26/(1+$A30)^$B$9*(1-$B$11)-$B$6</f>
        <v>22.1139335506988</v>
      </c>
      <c r="F30" s="14" t="n">
        <f aca="false">$B$7*F$26/(1+$A30)^$B$9*(1-$B$11)-$B$6</f>
        <v>26.6329224758153</v>
      </c>
    </row>
    <row r="31" customFormat="false" ht="15" hidden="false" customHeight="false" outlineLevel="0" collapsed="false">
      <c r="A31" s="20" t="n">
        <f aca="false">$B$10+(0.1)</f>
        <v>0.5</v>
      </c>
      <c r="B31" s="14" t="n">
        <f aca="false">$B$7*B$26/(1+$A31)^$B$9*(1-$B$11)-$B$6</f>
        <v>6.06172839506173</v>
      </c>
      <c r="C31" s="14" t="n">
        <f aca="false">$B$7*C$26/(1+$A31)^$B$9*(1-$B$11)-$B$6</f>
        <v>9.74897119341564</v>
      </c>
      <c r="D31" s="14" t="n">
        <f aca="false">$B$7*D$26/(1+$A31)^$B$9*(1-$B$11)-$B$6</f>
        <v>13.4362139917695</v>
      </c>
      <c r="E31" s="14" t="n">
        <f aca="false">$B$7*E$26/(1+$A31)^$B$9*(1-$B$11)-$B$6</f>
        <v>17.1234567901235</v>
      </c>
      <c r="F31" s="14" t="n">
        <f aca="false">$B$7*F$26/(1+$A31)^$B$9*(1-$B$11)-$B$6</f>
        <v>20.8106995884774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9"/>
    </row>
    <row r="6" customFormat="false" ht="15" hidden="false" customHeight="false" outlineLevel="0" collapsed="false">
      <c r="A6" s="0" t="s">
        <v>50</v>
      </c>
      <c r="B6" s="10" t="n">
        <v>8</v>
      </c>
    </row>
    <row r="7" customFormat="false" ht="15" hidden="false" customHeight="false" outlineLevel="0" collapsed="false">
      <c r="A7" s="0" t="s">
        <v>51</v>
      </c>
      <c r="B7" s="10" t="n">
        <v>1</v>
      </c>
    </row>
    <row r="8" customFormat="false" ht="15" hidden="false" customHeight="false" outlineLevel="0" collapsed="false">
      <c r="A8" s="0" t="s">
        <v>52</v>
      </c>
      <c r="B8" s="10" t="n">
        <v>1</v>
      </c>
    </row>
    <row r="9" customFormat="false" ht="15" hidden="false" customHeight="false" outlineLevel="0" collapsed="false">
      <c r="A9" s="0" t="s">
        <v>53</v>
      </c>
      <c r="B9" s="10" t="n">
        <v>20</v>
      </c>
    </row>
    <row r="10" customFormat="false" ht="15" hidden="false" customHeight="false" outlineLevel="0" collapsed="false">
      <c r="A10" s="0" t="s">
        <v>54</v>
      </c>
      <c r="B10" s="10" t="n">
        <v>5</v>
      </c>
    </row>
    <row r="11" customFormat="false" ht="15" hidden="false" customHeight="false" outlineLevel="0" collapsed="false">
      <c r="A11" s="0" t="s">
        <v>55</v>
      </c>
      <c r="B11" s="13" t="n">
        <v>0.15</v>
      </c>
    </row>
    <row r="13" customFormat="false" ht="15" hidden="false" customHeight="false" outlineLevel="0" collapsed="false">
      <c r="A13" s="9" t="s">
        <v>56</v>
      </c>
      <c r="B13" s="9"/>
    </row>
    <row r="14" customFormat="false" ht="15" hidden="false" customHeight="false" outlineLevel="0" collapsed="false">
      <c r="A14" s="0" t="s">
        <v>57</v>
      </c>
      <c r="B14" s="14" t="n">
        <f aca="false">SUM(B6:B8)</f>
        <v>10</v>
      </c>
    </row>
    <row r="15" customFormat="false" ht="15" hidden="false" customHeight="false" outlineLevel="0" collapsed="false">
      <c r="A15" s="0" t="s">
        <v>58</v>
      </c>
      <c r="B15" s="16" t="n">
        <f aca="false">B10/(B9+B10)</f>
        <v>0.2</v>
      </c>
    </row>
    <row r="16" customFormat="false" ht="15" hidden="false" customHeight="false" outlineLevel="0" collapsed="false">
      <c r="A16" s="0" t="s">
        <v>59</v>
      </c>
      <c r="B16" s="14" t="n">
        <f aca="false">(B14-B7)/(1-B11-B15)</f>
        <v>13.8461538461538</v>
      </c>
    </row>
    <row r="17" customFormat="false" ht="15" hidden="false" customHeight="false" outlineLevel="0" collapsed="false">
      <c r="A17" s="0" t="s">
        <v>60</v>
      </c>
      <c r="B17" s="14" t="n">
        <f aca="false">B16*B11-B7</f>
        <v>1.07692307692308</v>
      </c>
    </row>
    <row r="18" customFormat="false" ht="15" hidden="false" customHeight="false" outlineLevel="0" collapsed="false">
      <c r="A18" s="0" t="s">
        <v>61</v>
      </c>
      <c r="B18" s="22" t="n">
        <f aca="false">(B9+B10)/B16</f>
        <v>1.80555555555556</v>
      </c>
    </row>
    <row r="19" customFormat="false" ht="15" hidden="false" customHeight="false" outlineLevel="0" collapsed="false">
      <c r="A19" s="0" t="s">
        <v>62</v>
      </c>
      <c r="B19" s="14" t="n">
        <f aca="false">B10/B18</f>
        <v>2.76923076923077</v>
      </c>
    </row>
    <row r="20" customFormat="false" ht="15" hidden="false" customHeight="false" outlineLevel="0" collapsed="false">
      <c r="A20" s="0" t="s">
        <v>63</v>
      </c>
      <c r="B20" s="17" t="n">
        <f aca="false">B18*B14</f>
        <v>18.0555555555556</v>
      </c>
    </row>
    <row r="21" customFormat="false" ht="15" hidden="false" customHeight="false" outlineLevel="0" collapsed="false">
      <c r="A21" s="0" t="s">
        <v>64</v>
      </c>
      <c r="B21" s="23" t="str">
        <f aca="false">IF(ABS(B14+B17+B19-B16)&lt;0.0001,"OK","ERROR")</f>
        <v>OK</v>
      </c>
    </row>
    <row r="22" customFormat="false" ht="15" hidden="false" customHeight="false" outlineLevel="0" collapsed="false">
      <c r="A22" s="2" t="s">
        <v>65</v>
      </c>
    </row>
    <row r="24" customFormat="false" ht="23.85" hidden="false" customHeight="false" outlineLevel="0" collapsed="false">
      <c r="A24" s="24" t="s">
        <v>66</v>
      </c>
      <c r="B24" s="25" t="s">
        <v>67</v>
      </c>
      <c r="C24" s="25" t="s">
        <v>68</v>
      </c>
      <c r="D24" s="25" t="s">
        <v>69</v>
      </c>
      <c r="E24" s="25" t="s">
        <v>70</v>
      </c>
      <c r="F24" s="25" t="s">
        <v>71</v>
      </c>
    </row>
    <row r="25" customFormat="false" ht="15" hidden="false" customHeight="false" outlineLevel="0" collapsed="false">
      <c r="A25" s="0" t="s">
        <v>72</v>
      </c>
      <c r="B25" s="14" t="n">
        <f aca="false">B6</f>
        <v>8</v>
      </c>
      <c r="C25" s="16" t="n">
        <f aca="false">B25/$B$29</f>
        <v>0.8</v>
      </c>
      <c r="D25" s="14" t="n">
        <f aca="false">B6</f>
        <v>8</v>
      </c>
      <c r="E25" s="16" t="n">
        <f aca="false">D25/$D$29</f>
        <v>0.577777777777778</v>
      </c>
      <c r="F25" s="14" t="n">
        <f aca="false">D25*$B$18</f>
        <v>14.4444444444444</v>
      </c>
    </row>
    <row r="26" customFormat="false" ht="15" hidden="false" customHeight="false" outlineLevel="0" collapsed="false">
      <c r="A26" s="0" t="s">
        <v>73</v>
      </c>
      <c r="B26" s="14" t="n">
        <f aca="false">B8</f>
        <v>1</v>
      </c>
      <c r="C26" s="16" t="n">
        <f aca="false">B26/$B$29</f>
        <v>0.1</v>
      </c>
      <c r="D26" s="14" t="n">
        <f aca="false">B8</f>
        <v>1</v>
      </c>
      <c r="E26" s="16" t="n">
        <f aca="false">D26/$D$29</f>
        <v>0.0722222222222222</v>
      </c>
      <c r="F26" s="14" t="n">
        <f aca="false">D26*$B$18</f>
        <v>1.80555555555556</v>
      </c>
    </row>
    <row r="27" customFormat="false" ht="15" hidden="false" customHeight="false" outlineLevel="0" collapsed="false">
      <c r="A27" s="0" t="s">
        <v>74</v>
      </c>
      <c r="B27" s="14" t="n">
        <f aca="false">B7</f>
        <v>1</v>
      </c>
      <c r="C27" s="16" t="n">
        <f aca="false">B27/$B$29</f>
        <v>0.1</v>
      </c>
      <c r="D27" s="14" t="n">
        <f aca="false">B7+B17</f>
        <v>2.07692307692308</v>
      </c>
      <c r="E27" s="16" t="n">
        <f aca="false">D27/$D$29</f>
        <v>0.15</v>
      </c>
      <c r="F27" s="14" t="n">
        <f aca="false">D27*$B$18</f>
        <v>3.75</v>
      </c>
    </row>
    <row r="28" customFormat="false" ht="15" hidden="false" customHeight="false" outlineLevel="0" collapsed="false">
      <c r="A28" s="0" t="s">
        <v>75</v>
      </c>
      <c r="B28" s="14" t="n">
        <v>0</v>
      </c>
      <c r="C28" s="16" t="n">
        <f aca="false">B28/$B$29</f>
        <v>0</v>
      </c>
      <c r="D28" s="14" t="n">
        <f aca="false">B19</f>
        <v>2.76923076923077</v>
      </c>
      <c r="E28" s="16" t="n">
        <f aca="false">D28/$D$29</f>
        <v>0.2</v>
      </c>
      <c r="F28" s="14" t="n">
        <f aca="false">D28*$B$18</f>
        <v>5</v>
      </c>
    </row>
    <row r="29" customFormat="false" ht="15" hidden="false" customHeight="false" outlineLevel="0" collapsed="false">
      <c r="A29" s="26" t="s">
        <v>76</v>
      </c>
      <c r="B29" s="27" t="n">
        <f aca="false">SUM(B25:B28)</f>
        <v>10</v>
      </c>
      <c r="C29" s="28" t="n">
        <f aca="false">SUM(C25:C28)</f>
        <v>1</v>
      </c>
      <c r="D29" s="27" t="n">
        <f aca="false">SUM(D25:D28)</f>
        <v>13.8461538461538</v>
      </c>
      <c r="E29" s="28" t="n">
        <f aca="false">SUM(E25:E28)</f>
        <v>1</v>
      </c>
      <c r="F29" s="27" t="n">
        <f aca="false">SUM(F25:F28)</f>
        <v>25</v>
      </c>
    </row>
    <row r="30" customFormat="false" ht="15" hidden="false" customHeight="false" outlineLevel="0" collapsed="false">
      <c r="A30" s="0" t="s">
        <v>77</v>
      </c>
      <c r="F30" s="23" t="str">
        <f aca="false">IF(ABS(F29-(B9+B10))&lt;0.0001,"OK","ERROR")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9"/>
    </row>
    <row r="6" customFormat="false" ht="15" hidden="false" customHeight="false" outlineLevel="0" collapsed="false">
      <c r="A6" s="0" t="s">
        <v>79</v>
      </c>
      <c r="B6" s="11" t="n">
        <v>1</v>
      </c>
    </row>
    <row r="7" customFormat="false" ht="15" hidden="false" customHeight="false" outlineLevel="0" collapsed="false">
      <c r="A7" s="0" t="s">
        <v>80</v>
      </c>
      <c r="B7" s="29" t="n">
        <f aca="false">'Cap Table'!B10</f>
        <v>5</v>
      </c>
    </row>
    <row r="8" customFormat="false" ht="15" hidden="false" customHeight="false" outlineLevel="0" collapsed="false">
      <c r="A8" s="0" t="s">
        <v>81</v>
      </c>
      <c r="B8" s="29" t="n">
        <f aca="false">'Cap Table'!B19</f>
        <v>2.76923076923077</v>
      </c>
    </row>
    <row r="9" customFormat="false" ht="15" hidden="false" customHeight="false" outlineLevel="0" collapsed="false">
      <c r="A9" s="0" t="s">
        <v>82</v>
      </c>
      <c r="B9" s="29" t="n">
        <f aca="false">'Cap Table'!B16</f>
        <v>13.8461538461538</v>
      </c>
    </row>
    <row r="10" customFormat="false" ht="15" hidden="false" customHeight="false" outlineLevel="0" collapsed="false">
      <c r="A10" s="0" t="s">
        <v>50</v>
      </c>
      <c r="B10" s="29" t="n">
        <f aca="false">'Cap Table'!B6</f>
        <v>8</v>
      </c>
    </row>
    <row r="11" customFormat="false" ht="15" hidden="false" customHeight="false" outlineLevel="0" collapsed="false">
      <c r="A11" s="0" t="s">
        <v>83</v>
      </c>
      <c r="B11" s="29" t="n">
        <f aca="false">'Cap Table'!B8</f>
        <v>1</v>
      </c>
    </row>
    <row r="12" customFormat="false" ht="15" hidden="false" customHeight="false" outlineLevel="0" collapsed="false">
      <c r="A12" s="0" t="s">
        <v>84</v>
      </c>
      <c r="B12" s="29" t="n">
        <f aca="false">'Cap Table'!D27</f>
        <v>2.07692307692308</v>
      </c>
    </row>
    <row r="13" customFormat="false" ht="15" hidden="false" customHeight="false" outlineLevel="0" collapsed="false">
      <c r="A13" s="0" t="s">
        <v>85</v>
      </c>
      <c r="B13" s="14" t="n">
        <f aca="false">B6*B7</f>
        <v>5</v>
      </c>
    </row>
    <row r="14" customFormat="false" ht="15" hidden="false" customHeight="false" outlineLevel="0" collapsed="false">
      <c r="A14" s="0" t="s">
        <v>86</v>
      </c>
      <c r="B14" s="16" t="n">
        <f aca="false">B8/B9</f>
        <v>0.2</v>
      </c>
    </row>
    <row r="15" customFormat="false" ht="15" hidden="false" customHeight="false" outlineLevel="0" collapsed="false">
      <c r="A15" s="0" t="s">
        <v>87</v>
      </c>
      <c r="B15" s="17" t="n">
        <f aca="false">B13/B14</f>
        <v>25</v>
      </c>
    </row>
    <row r="17" customFormat="false" ht="15" hidden="false" customHeight="false" outlineLevel="0" collapsed="false">
      <c r="A17" s="9" t="s">
        <v>88</v>
      </c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26" t="s">
        <v>89</v>
      </c>
      <c r="B18" s="30" t="n">
        <v>10</v>
      </c>
      <c r="C18" s="30" t="n">
        <v>25</v>
      </c>
      <c r="D18" s="30" t="n">
        <v>50</v>
      </c>
      <c r="E18" s="30" t="n">
        <v>100</v>
      </c>
      <c r="F18" s="30" t="n">
        <v>200</v>
      </c>
      <c r="G18" s="30" t="n">
        <v>500</v>
      </c>
    </row>
    <row r="19" customFormat="false" ht="15" hidden="false" customHeight="false" outlineLevel="0" collapsed="false">
      <c r="A19" s="0" t="s">
        <v>90</v>
      </c>
      <c r="B19" s="23" t="str">
        <f aca="false">IF(B18*$B$14&gt;$B$13,"Convert","Preference")</f>
        <v>Preference</v>
      </c>
      <c r="C19" s="23" t="str">
        <f aca="false">IF(C18*$B$14&gt;$B$13,"Convert","Preference")</f>
        <v>Preference</v>
      </c>
      <c r="D19" s="23" t="str">
        <f aca="false">IF(D18*$B$14&gt;$B$13,"Convert","Preference")</f>
        <v>Convert</v>
      </c>
      <c r="E19" s="23" t="str">
        <f aca="false">IF(E18*$B$14&gt;$B$13,"Convert","Preference")</f>
        <v>Convert</v>
      </c>
      <c r="F19" s="23" t="str">
        <f aca="false">IF(F18*$B$14&gt;$B$13,"Convert","Preference")</f>
        <v>Convert</v>
      </c>
      <c r="G19" s="23" t="str">
        <f aca="false">IF(G18*$B$14&gt;$B$13,"Convert","Preference")</f>
        <v>Convert</v>
      </c>
    </row>
    <row r="20" customFormat="false" ht="15" hidden="false" customHeight="false" outlineLevel="0" collapsed="false">
      <c r="A20" s="0" t="s">
        <v>91</v>
      </c>
      <c r="B20" s="14" t="n">
        <f aca="false">IF(B19="Convert",B18*$B$14,MIN(B18,$B$13))</f>
        <v>5</v>
      </c>
      <c r="C20" s="14" t="n">
        <f aca="false">IF(C19="Convert",C18*$B$14,MIN(C18,$B$13))</f>
        <v>5</v>
      </c>
      <c r="D20" s="14" t="n">
        <f aca="false">IF(D19="Convert",D18*$B$14,MIN(D18,$B$13))</f>
        <v>10</v>
      </c>
      <c r="E20" s="14" t="n">
        <f aca="false">IF(E19="Convert",E18*$B$14,MIN(E18,$B$13))</f>
        <v>20</v>
      </c>
      <c r="F20" s="14" t="n">
        <f aca="false">IF(F19="Convert",F18*$B$14,MIN(F18,$B$13))</f>
        <v>40</v>
      </c>
      <c r="G20" s="14" t="n">
        <f aca="false">IF(G19="Convert",G18*$B$14,MIN(G18,$B$13))</f>
        <v>100</v>
      </c>
    </row>
    <row r="21" customFormat="false" ht="15" hidden="false" customHeight="false" outlineLevel="0" collapsed="false">
      <c r="A21" s="0" t="s">
        <v>92</v>
      </c>
      <c r="B21" s="14" t="n">
        <f aca="false">B18-B20</f>
        <v>5</v>
      </c>
      <c r="C21" s="14" t="n">
        <f aca="false">C18-C20</f>
        <v>20</v>
      </c>
      <c r="D21" s="14" t="n">
        <f aca="false">D18-D20</f>
        <v>40</v>
      </c>
      <c r="E21" s="14" t="n">
        <f aca="false">E18-E20</f>
        <v>80</v>
      </c>
      <c r="F21" s="14" t="n">
        <f aca="false">F18-F20</f>
        <v>160</v>
      </c>
      <c r="G21" s="14" t="n">
        <f aca="false">G18-G20</f>
        <v>400</v>
      </c>
    </row>
    <row r="22" customFormat="false" ht="15" hidden="false" customHeight="false" outlineLevel="0" collapsed="false">
      <c r="A22" s="0" t="s">
        <v>72</v>
      </c>
      <c r="B22" s="14" t="n">
        <f aca="false">B21*$B$10/($B$9-$B$8)</f>
        <v>3.61111111111111</v>
      </c>
      <c r="C22" s="14" t="n">
        <f aca="false">C21*$B$10/($B$9-$B$8)</f>
        <v>14.4444444444444</v>
      </c>
      <c r="D22" s="14" t="n">
        <f aca="false">D21*$B$10/($B$9-$B$8)</f>
        <v>28.8888888888889</v>
      </c>
      <c r="E22" s="14" t="n">
        <f aca="false">E21*$B$10/($B$9-$B$8)</f>
        <v>57.7777777777778</v>
      </c>
      <c r="F22" s="14" t="n">
        <f aca="false">F21*$B$10/($B$9-$B$8)</f>
        <v>115.555555555556</v>
      </c>
      <c r="G22" s="14" t="n">
        <f aca="false">G21*$B$10/($B$9-$B$8)</f>
        <v>288.888888888889</v>
      </c>
    </row>
    <row r="23" customFormat="false" ht="15" hidden="false" customHeight="false" outlineLevel="0" collapsed="false">
      <c r="A23" s="0" t="s">
        <v>73</v>
      </c>
      <c r="B23" s="14" t="n">
        <f aca="false">B21*$B$11/($B$9-$B$8)</f>
        <v>0.451388888888889</v>
      </c>
      <c r="C23" s="14" t="n">
        <f aca="false">C21*$B$11/($B$9-$B$8)</f>
        <v>1.80555555555556</v>
      </c>
      <c r="D23" s="14" t="n">
        <f aca="false">D21*$B$11/($B$9-$B$8)</f>
        <v>3.61111111111111</v>
      </c>
      <c r="E23" s="14" t="n">
        <f aca="false">E21*$B$11/($B$9-$B$8)</f>
        <v>7.22222222222222</v>
      </c>
      <c r="F23" s="14" t="n">
        <f aca="false">F21*$B$11/($B$9-$B$8)</f>
        <v>14.4444444444444</v>
      </c>
      <c r="G23" s="14" t="n">
        <f aca="false">G21*$B$11/($B$9-$B$8)</f>
        <v>36.1111111111111</v>
      </c>
    </row>
    <row r="24" customFormat="false" ht="15" hidden="false" customHeight="false" outlineLevel="0" collapsed="false">
      <c r="A24" s="0" t="s">
        <v>93</v>
      </c>
      <c r="B24" s="14" t="n">
        <f aca="false">B21*$B$12/($B$9-$B$8)</f>
        <v>0.9375</v>
      </c>
      <c r="C24" s="14" t="n">
        <f aca="false">C21*$B$12/($B$9-$B$8)</f>
        <v>3.75</v>
      </c>
      <c r="D24" s="14" t="n">
        <f aca="false">D21*$B$12/($B$9-$B$8)</f>
        <v>7.5</v>
      </c>
      <c r="E24" s="14" t="n">
        <f aca="false">E21*$B$12/($B$9-$B$8)</f>
        <v>15</v>
      </c>
      <c r="F24" s="14" t="n">
        <f aca="false">F21*$B$12/($B$9-$B$8)</f>
        <v>30</v>
      </c>
      <c r="G24" s="14" t="n">
        <f aca="false">G21*$B$12/($B$9-$B$8)</f>
        <v>75</v>
      </c>
    </row>
    <row r="25" customFormat="false" ht="15" hidden="false" customHeight="false" outlineLevel="0" collapsed="false">
      <c r="A25" s="0" t="s">
        <v>94</v>
      </c>
      <c r="B25" s="27" t="n">
        <f aca="false">B20+B22+B23+B24</f>
        <v>10</v>
      </c>
      <c r="C25" s="27" t="n">
        <f aca="false">C20+C22+C23+C24</f>
        <v>25</v>
      </c>
      <c r="D25" s="27" t="n">
        <f aca="false">D20+D22+D23+D24</f>
        <v>50</v>
      </c>
      <c r="E25" s="27" t="n">
        <f aca="false">E20+E22+E23+E24</f>
        <v>100</v>
      </c>
      <c r="F25" s="27" t="n">
        <f aca="false">F20+F22+F23+F24</f>
        <v>200</v>
      </c>
      <c r="G25" s="27" t="n">
        <f aca="false">G20+G22+G23+G24</f>
        <v>500</v>
      </c>
    </row>
    <row r="26" customFormat="false" ht="15" hidden="false" customHeight="false" outlineLevel="0" collapsed="false">
      <c r="A26" s="0" t="s">
        <v>95</v>
      </c>
      <c r="B26" s="15" t="n">
        <f aca="false">B20/$B$7</f>
        <v>1</v>
      </c>
      <c r="C26" s="15" t="n">
        <f aca="false">C20/$B$7</f>
        <v>1</v>
      </c>
      <c r="D26" s="15" t="n">
        <f aca="false">D20/$B$7</f>
        <v>2</v>
      </c>
      <c r="E26" s="15" t="n">
        <f aca="false">E20/$B$7</f>
        <v>4</v>
      </c>
      <c r="F26" s="15" t="n">
        <f aca="false">F20/$B$7</f>
        <v>8</v>
      </c>
      <c r="G26" s="15" t="n">
        <f aca="false">G20/$B$7</f>
        <v>20</v>
      </c>
    </row>
    <row r="27" customFormat="false" ht="15" hidden="false" customHeight="false" outlineLevel="0" collapsed="false">
      <c r="A27" s="0" t="s">
        <v>96</v>
      </c>
      <c r="B27" s="23" t="str">
        <f aca="false">IF(ABS(B25-B18)&lt;0.0001,"OK","ERROR")</f>
        <v>OK</v>
      </c>
      <c r="C27" s="23" t="str">
        <f aca="false">IF(ABS(C25-C18)&lt;0.0001,"OK","ERROR")</f>
        <v>OK</v>
      </c>
      <c r="D27" s="23" t="str">
        <f aca="false">IF(ABS(D25-D18)&lt;0.0001,"OK","ERROR")</f>
        <v>OK</v>
      </c>
      <c r="E27" s="23" t="str">
        <f aca="false">IF(ABS(E25-E18)&lt;0.0001,"OK","ERROR")</f>
        <v>OK</v>
      </c>
      <c r="F27" s="23" t="str">
        <f aca="false">IF(ABS(F25-F18)&lt;0.0001,"OK","ERROR")</f>
        <v>OK</v>
      </c>
      <c r="G27" s="23" t="str">
        <f aca="false">IF(ABS(G25-G18)&lt;0.0001,"OK","ERROR")</f>
        <v>OK</v>
      </c>
    </row>
    <row r="29" customFormat="false" ht="15" hidden="false" customHeight="false" outlineLevel="0" collapsed="false">
      <c r="A29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  <c r="B5" s="9"/>
    </row>
    <row r="6" customFormat="false" ht="15" hidden="false" customHeight="false" outlineLevel="0" collapsed="false">
      <c r="A6" s="0" t="s">
        <v>99</v>
      </c>
      <c r="B6" s="10" t="n">
        <v>100</v>
      </c>
    </row>
    <row r="7" customFormat="false" ht="15" hidden="false" customHeight="false" outlineLevel="0" collapsed="false">
      <c r="A7" s="0" t="s">
        <v>100</v>
      </c>
      <c r="B7" s="10" t="n">
        <v>250</v>
      </c>
    </row>
    <row r="8" customFormat="false" ht="15" hidden="false" customHeight="false" outlineLevel="0" collapsed="false">
      <c r="A8" s="0" t="s">
        <v>101</v>
      </c>
      <c r="B8" s="12" t="n">
        <v>5</v>
      </c>
    </row>
    <row r="9" customFormat="false" ht="15" hidden="false" customHeight="false" outlineLevel="0" collapsed="false">
      <c r="A9" s="0" t="s">
        <v>102</v>
      </c>
      <c r="B9" s="13" t="n">
        <v>0.08</v>
      </c>
    </row>
    <row r="10" customFormat="false" ht="15" hidden="false" customHeight="false" outlineLevel="0" collapsed="false">
      <c r="A10" s="0" t="s">
        <v>103</v>
      </c>
      <c r="B10" s="13" t="n">
        <v>0.2</v>
      </c>
    </row>
    <row r="11" customFormat="false" ht="15" hidden="false" customHeight="false" outlineLevel="0" collapsed="false">
      <c r="A11" s="0" t="s">
        <v>104</v>
      </c>
      <c r="B11" s="13" t="n">
        <v>1</v>
      </c>
    </row>
    <row r="13" customFormat="false" ht="15" hidden="false" customHeight="false" outlineLevel="0" collapsed="false">
      <c r="A13" s="9" t="s">
        <v>105</v>
      </c>
      <c r="B13" s="9"/>
      <c r="C13" s="9"/>
      <c r="D13" s="9"/>
    </row>
    <row r="14" customFormat="false" ht="15" hidden="false" customHeight="false" outlineLevel="0" collapsed="false">
      <c r="B14" s="31" t="s">
        <v>76</v>
      </c>
      <c r="C14" s="31" t="s">
        <v>106</v>
      </c>
      <c r="D14" s="31" t="s">
        <v>107</v>
      </c>
    </row>
    <row r="15" customFormat="false" ht="15" hidden="false" customHeight="false" outlineLevel="0" collapsed="false">
      <c r="A15" s="0" t="s">
        <v>108</v>
      </c>
      <c r="B15" s="14" t="n">
        <f aca="false">MIN(B7,B6)</f>
        <v>100</v>
      </c>
      <c r="C15" s="14" t="n">
        <f aca="false">B15</f>
        <v>100</v>
      </c>
      <c r="D15" s="14" t="n">
        <f aca="false">0</f>
        <v>0</v>
      </c>
    </row>
    <row r="16" customFormat="false" ht="15" hidden="false" customHeight="false" outlineLevel="0" collapsed="false">
      <c r="A16" s="0" t="s">
        <v>109</v>
      </c>
      <c r="B16" s="14" t="n">
        <f aca="false">MIN(B7-B15,B6*((1+B9)^B8-1))</f>
        <v>46.9328076800001</v>
      </c>
      <c r="C16" s="14" t="n">
        <f aca="false">B16</f>
        <v>46.9328076800001</v>
      </c>
      <c r="D16" s="14" t="n">
        <f aca="false">0</f>
        <v>0</v>
      </c>
    </row>
    <row r="17" customFormat="false" ht="15" hidden="false" customHeight="false" outlineLevel="0" collapsed="false">
      <c r="A17" s="0" t="s">
        <v>110</v>
      </c>
      <c r="B17" s="14" t="n">
        <f aca="false">MAX(0,MIN(B7-B15-B16,B16*B10/(B11-B10)))</f>
        <v>11.73320192</v>
      </c>
      <c r="C17" s="14" t="n">
        <f aca="false">B17*(1-B11)</f>
        <v>0</v>
      </c>
      <c r="D17" s="14" t="n">
        <f aca="false">B17*B11</f>
        <v>11.73320192</v>
      </c>
    </row>
    <row r="18" customFormat="false" ht="15" hidden="false" customHeight="false" outlineLevel="0" collapsed="false">
      <c r="A18" s="0" t="s">
        <v>111</v>
      </c>
      <c r="B18" s="14" t="n">
        <f aca="false">B7-B15-B16-B17</f>
        <v>91.3339903999999</v>
      </c>
      <c r="C18" s="14" t="n">
        <f aca="false">B18*(1-B10)</f>
        <v>73.06719232</v>
      </c>
      <c r="D18" s="14" t="n">
        <f aca="false">B18*B10</f>
        <v>18.26679808</v>
      </c>
    </row>
    <row r="19" customFormat="false" ht="15" hidden="false" customHeight="false" outlineLevel="0" collapsed="false">
      <c r="A19" s="26" t="s">
        <v>76</v>
      </c>
      <c r="B19" s="27" t="n">
        <f aca="false">SUM(B15:B18)</f>
        <v>250</v>
      </c>
      <c r="C19" s="27" t="n">
        <f aca="false">SUM(C15:C18)</f>
        <v>220</v>
      </c>
      <c r="D19" s="27" t="n">
        <f aca="false">SUM(D15:D18)</f>
        <v>30</v>
      </c>
    </row>
    <row r="20" customFormat="false" ht="15" hidden="false" customHeight="false" outlineLevel="0" collapsed="false">
      <c r="A20" s="0" t="s">
        <v>112</v>
      </c>
      <c r="B20" s="23" t="str">
        <f aca="false">IF(ABS(B19-B7)&lt;0.0001,"OK","ERROR")</f>
        <v>OK</v>
      </c>
    </row>
    <row r="22" customFormat="false" ht="15" hidden="false" customHeight="false" outlineLevel="0" collapsed="false">
      <c r="A22" s="9" t="s">
        <v>113</v>
      </c>
      <c r="B22" s="9"/>
      <c r="C22" s="9"/>
      <c r="D22" s="9"/>
    </row>
    <row r="23" customFormat="false" ht="15" hidden="false" customHeight="false" outlineLevel="0" collapsed="false">
      <c r="A23" s="0" t="s">
        <v>114</v>
      </c>
      <c r="B23" s="15" t="n">
        <f aca="false">B7/B6</f>
        <v>2.5</v>
      </c>
    </row>
    <row r="24" customFormat="false" ht="15" hidden="false" customHeight="false" outlineLevel="0" collapsed="false">
      <c r="A24" s="0" t="s">
        <v>115</v>
      </c>
      <c r="B24" s="16" t="n">
        <f aca="false">B23^(1/B8)-1</f>
        <v>0.201124433981431</v>
      </c>
    </row>
    <row r="25" customFormat="false" ht="15" hidden="false" customHeight="false" outlineLevel="0" collapsed="false">
      <c r="A25" s="0" t="s">
        <v>116</v>
      </c>
      <c r="B25" s="32" t="n">
        <f aca="false">C19/B6</f>
        <v>2.2</v>
      </c>
    </row>
    <row r="26" customFormat="false" ht="15" hidden="false" customHeight="false" outlineLevel="0" collapsed="false">
      <c r="A26" s="0" t="s">
        <v>117</v>
      </c>
      <c r="B26" s="18" t="n">
        <f aca="false">B25^(1/B8)-1</f>
        <v>0.170804912964892</v>
      </c>
    </row>
    <row r="27" customFormat="false" ht="15" hidden="false" customHeight="false" outlineLevel="0" collapsed="false">
      <c r="A27" s="0" t="s">
        <v>118</v>
      </c>
      <c r="B27" s="16" t="n">
        <f aca="false">IF(B7&gt;B6,D19/(B7-B6),0)</f>
        <v>0.2</v>
      </c>
    </row>
    <row r="28" customFormat="false" ht="15" hidden="false" customHeight="false" outlineLevel="0" collapsed="false">
      <c r="A28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2026-10-21T23:16:41Z</dcterms:created>
  <dc:creator>openpyxl</dc:creator>
  <dc:description/>
  <dc:language>en-US</dc:language>
  <cp:lastModifiedBy/>
  <dcterms:modified xsi:type="dcterms:W3CDTF">2026-10-21T23:16:41Z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