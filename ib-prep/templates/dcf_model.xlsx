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uide" sheetId="1" state="visible" r:id="rId3"/>
    <sheet name="DCF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<sst xmlns="http://schemas.openxmlformats.org/spreadsheetml/2006/main" count="106" uniqueCount="104">
  <si>
    <t xml:space="preserve">DCF Model</t>
  </si>
  <si>
    <t xml:space="preserve">IB Prep Studio practice template. Source: illustrative figures for a fictional company (ExampleCo). Replace with real filings (10-K / annual report).</t>
  </si>
  <si>
    <t xml:space="preserve">What this model does</t>
  </si>
  <si>
    <t xml:space="preserve">1. Values ExampleCo with an unlevered DCF: 5-year UFCF projection, WACC built from CAPM and a peer beta table, and terminal value by both the perpetuity growth and exit multiple methods.</t>
  </si>
  <si>
    <t xml:space="preserve">2. Bridges enterprise value to equity value and an implied share price, and cross-checks each terminal value method against the other.</t>
  </si>
  <si>
    <t xml:space="preserve">3. Two sensitivity tables (WACC vs growth, WACC vs exit multiple) are built with plain formulas, so they update instantly.</t>
  </si>
  <si>
    <t xml:space="preserve">How to use it</t>
  </si>
  <si>
    <t xml:space="preserve">1. Go to the 'DCF' sheet. Change the yellow inputs: market data, CAPM inputs, peer betas, projection drivers.</t>
  </si>
  <si>
    <t xml:space="preserve">2. Read the valuation block: compare the two methods and check the implied exit multiple and implied growth rate.</t>
  </si>
  <si>
    <t xml:space="preserve">3. Check 'PV of terminal value as % of EV'. If it is above ~80%, your projections carry little weight.</t>
  </si>
  <si>
    <t xml:space="preserve">4. Rebuild it from a blank sheet: drivers -&gt; UFCF -&gt; discount factors -&gt; terminal value -&gt; EV -&gt; equity value -&gt; per share.</t>
  </si>
  <si>
    <t xml:space="preserve">Practice drills</t>
  </si>
  <si>
    <t xml:space="preserve">1. Raise the equity risk premium by 1%. Which moves more: the perpetuity value or the exit multiple value? Why?</t>
  </si>
  <si>
    <t xml:space="preserve">2. Turn the mid-year convention off (set it to 0). Does value go up or down?</t>
  </si>
  <si>
    <t xml:space="preserve">3. Set terminal growth equal to WACC. What breaks, and why is that the right answer?</t>
  </si>
  <si>
    <t xml:space="preserve">4. Change peer D/E ratios and watch the relevered beta and WACC change.</t>
  </si>
  <si>
    <t xml:space="preserve">5. Make the implied perpetual growth from the exit multiple method land at about 2.5% by adjusting the multiple.</t>
  </si>
  <si>
    <t xml:space="preserve">Colour legend</t>
  </si>
  <si>
    <t xml:space="preserve">1. Blue text = hard-coded input. Yellow fill = key assumption you are meant to change.</t>
  </si>
  <si>
    <t xml:space="preserve">2. Black text = formula. Never type over a black cell.</t>
  </si>
  <si>
    <t xml:space="preserve">3. Green text = link pulling a value from another sheet.</t>
  </si>
  <si>
    <t xml:space="preserve">4. Negative numbers show in (parentheses); zeros show as '-'.</t>
  </si>
  <si>
    <t xml:space="preserve">Input example</t>
  </si>
  <si>
    <t xml:space="preserve">Key assumption example</t>
  </si>
  <si>
    <t xml:space="preserve">Formula example</t>
  </si>
  <si>
    <t xml:space="preserve">Link example</t>
  </si>
  <si>
    <t xml:space="preserve">ExampleCo - Discounted Cash Flow Analysis</t>
  </si>
  <si>
    <t xml:space="preserve">($ in millions, except per share)   Source: illustrative figures for a fictional company (ExampleCo). Replace with real filings (10-K / annual report).</t>
  </si>
  <si>
    <t xml:space="preserve">Legend: blue = input, yellow fill = key assumption to change, black = formula, green = link to another sheet.</t>
  </si>
  <si>
    <t xml:space="preserve">INPUTS</t>
  </si>
  <si>
    <t xml:space="preserve">Peer</t>
  </si>
  <si>
    <t xml:space="preserve">Levered beta</t>
  </si>
  <si>
    <t xml:space="preserve">Debt / equity</t>
  </si>
  <si>
    <t xml:space="preserve">Tax rate</t>
  </si>
  <si>
    <t xml:space="preserve">Unlevered beta</t>
  </si>
  <si>
    <t xml:space="preserve">Current share price ($)</t>
  </si>
  <si>
    <t xml:space="preserve">Peer A</t>
  </si>
  <si>
    <t xml:space="preserve">Diluted shares outstanding (mm)</t>
  </si>
  <si>
    <t xml:space="preserve">Peer B</t>
  </si>
  <si>
    <t xml:space="preserve">Total debt</t>
  </si>
  <si>
    <t xml:space="preserve">Peer C</t>
  </si>
  <si>
    <t xml:space="preserve">Cash &amp; equivalents</t>
  </si>
  <si>
    <t xml:space="preserve">Peer D</t>
  </si>
  <si>
    <t xml:space="preserve">Risk-free rate</t>
  </si>
  <si>
    <t xml:space="preserve">Median unlevered beta</t>
  </si>
  <si>
    <t xml:space="preserve">Equity risk premium</t>
  </si>
  <si>
    <t xml:space="preserve">ExampleCo debt / equity</t>
  </si>
  <si>
    <t xml:space="preserve">Beta (relevered, from peer table)</t>
  </si>
  <si>
    <t xml:space="preserve">Relevered beta</t>
  </si>
  <si>
    <t xml:space="preserve">Pre-tax cost of debt</t>
  </si>
  <si>
    <t xml:space="preserve">Formula: unlevered = levered / (1 + (1 - t) x D/E)</t>
  </si>
  <si>
    <t xml:space="preserve">Terminal (perpetual) growth rate</t>
  </si>
  <si>
    <t xml:space="preserve">Exit EV / EBITDA multiple</t>
  </si>
  <si>
    <t xml:space="preserve">Mid-year convention (1 = on, 0 = off)</t>
  </si>
  <si>
    <t xml:space="preserve">WACC</t>
  </si>
  <si>
    <t xml:space="preserve">Cost of equity (CAPM: Rf + beta x ERP)</t>
  </si>
  <si>
    <t xml:space="preserve">After-tax cost of debt</t>
  </si>
  <si>
    <t xml:space="preserve">Market value of equity</t>
  </si>
  <si>
    <t xml:space="preserve">Debt</t>
  </si>
  <si>
    <t xml:space="preserve">Equity / (debt + equity)</t>
  </si>
  <si>
    <t xml:space="preserve">Debt / (debt + equity)</t>
  </si>
  <si>
    <t xml:space="preserve">PROJECTIONS</t>
  </si>
  <si>
    <t xml:space="preserve">FY2025A</t>
  </si>
  <si>
    <t xml:space="preserve">FY2026E</t>
  </si>
  <si>
    <t xml:space="preserve">FY2027E</t>
  </si>
  <si>
    <t xml:space="preserve">FY2028E</t>
  </si>
  <si>
    <t xml:space="preserve">FY2029E</t>
  </si>
  <si>
    <t xml:space="preserve">FY2030E</t>
  </si>
  <si>
    <t xml:space="preserve">Revenue growth</t>
  </si>
  <si>
    <t xml:space="preserve">EBITDA margin</t>
  </si>
  <si>
    <t xml:space="preserve">D&amp;A % of revenue</t>
  </si>
  <si>
    <t xml:space="preserve">Capex % of revenue</t>
  </si>
  <si>
    <t xml:space="preserve">Net working capital % of change in revenue</t>
  </si>
  <si>
    <t xml:space="preserve">Revenue</t>
  </si>
  <si>
    <t xml:space="preserve">EBITDA</t>
  </si>
  <si>
    <t xml:space="preserve">Less: D&amp;A</t>
  </si>
  <si>
    <t xml:space="preserve">EBIT</t>
  </si>
  <si>
    <t xml:space="preserve">NOPAT (EBIT x (1 - tax))</t>
  </si>
  <si>
    <t xml:space="preserve">Plus: D&amp;A</t>
  </si>
  <si>
    <t xml:space="preserve">Less: capex</t>
  </si>
  <si>
    <t xml:space="preserve">Less: increase in net working capital</t>
  </si>
  <si>
    <t xml:space="preserve">Unlevered free cash flow</t>
  </si>
  <si>
    <t xml:space="preserve">Year</t>
  </si>
  <si>
    <t xml:space="preserve">Discount period</t>
  </si>
  <si>
    <t xml:space="preserve">Discount factor</t>
  </si>
  <si>
    <t xml:space="preserve">PV of unlevered FCF</t>
  </si>
  <si>
    <t xml:space="preserve">VALUATION</t>
  </si>
  <si>
    <t xml:space="preserve">Perpetuity growth</t>
  </si>
  <si>
    <t xml:space="preserve">Exit multiple</t>
  </si>
  <si>
    <t xml:space="preserve">Sum of PV of unlevered FCF</t>
  </si>
  <si>
    <t xml:space="preserve">Terminal value (in FY2030E)</t>
  </si>
  <si>
    <t xml:space="preserve">PV of terminal value</t>
  </si>
  <si>
    <t xml:space="preserve">Enterprise value</t>
  </si>
  <si>
    <t xml:space="preserve">Less: debt</t>
  </si>
  <si>
    <t xml:space="preserve">Plus: cash</t>
  </si>
  <si>
    <t xml:space="preserve">Equity value</t>
  </si>
  <si>
    <t xml:space="preserve">Implied share price ($)</t>
  </si>
  <si>
    <t xml:space="preserve">Premium / (discount) to current price</t>
  </si>
  <si>
    <t xml:space="preserve">PV of terminal value as % of EV</t>
  </si>
  <si>
    <t xml:space="preserve">Cross-check: implied exit multiple / implied perpetual growth</t>
  </si>
  <si>
    <t xml:space="preserve">Note: terminal value is discounted from the end of FY2030E in both methods.</t>
  </si>
  <si>
    <t xml:space="preserve">SENSITIVITY: SHARE PRICE ($), PERPETUITY GROWTH METHOD  (rows = WACC, columns = terminal growth)</t>
  </si>
  <si>
    <t xml:space="preserve">SENSITIVITY: SHARE PRICE ($), EXIT MULTIPLE METHOD  (rows = WACC, columns = exit EV/EBITDA)</t>
  </si>
  <si>
    <t xml:space="preserve">Shaded cell = base case; it should equal the implied share price above.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</si>
</sst>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.00_);&quot;($&quot;#,##0.00\);\-_)"/>
    <numFmt numFmtId="166" formatCode="0.00_);\(0.00\);\-_)"/>
    <numFmt numFmtId="167" formatCode="0.0%_);\(0.0%\);\-_)"/>
    <numFmt numFmtId="168" formatCode="#,##0.0_);\(#,##0.0\);\-_)"/>
    <numFmt numFmtId="169" formatCode="0.0\x_);\(0.0&quot;x)&quot;;\-_)"/>
    <numFmt numFmtId="170" formatCode="#,##0_);\(#,##0\);\-_)"/>
    <numFmt numFmtId="171" formatCode="0.0"/>
    <numFmt numFmtId="172" formatCode="0.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A3122A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A3122A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A3122A"/>
        <bgColor rgb="FF800000"/>
      </patternFill>
    </fill>
    <fill>
      <patternFill patternType="solid">
        <fgColor rgb="FFF2F2F2"/>
        <bgColor rgb="FFFCE4E8"/>
      </patternFill>
    </fill>
    <fill>
      <patternFill patternType="solid">
        <fgColor rgb="FFFCE4E8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A3122A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E8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0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</row>
    <row r="5" customFormat="false" ht="23.85" hidden="false" customHeight="false" outlineLevel="0" collapsed="false">
      <c r="B5" s="4" t="s">
        <v>3</v>
      </c>
    </row>
    <row r="6" customFormat="false" ht="15" hidden="false" customHeight="false" outlineLevel="0" collapsed="false">
      <c r="B6" s="4" t="s">
        <v>4</v>
      </c>
    </row>
    <row r="7" customFormat="false" ht="15" hidden="false" customHeight="false" outlineLevel="0" collapsed="false">
      <c r="B7" s="4" t="s">
        <v>5</v>
      </c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4" t="s">
        <v>7</v>
      </c>
    </row>
    <row r="11" customFormat="false" ht="15" hidden="false" customHeight="false" outlineLevel="0" collapsed="false">
      <c r="B11" s="4" t="s">
        <v>8</v>
      </c>
    </row>
    <row r="12" customFormat="false" ht="15" hidden="false" customHeight="false" outlineLevel="0" collapsed="false">
      <c r="B12" s="4" t="s">
        <v>9</v>
      </c>
    </row>
    <row r="13" customFormat="false" ht="15" hidden="false" customHeight="false" outlineLevel="0" collapsed="false">
      <c r="B13" s="4" t="s">
        <v>10</v>
      </c>
    </row>
    <row r="15" customFormat="false" ht="15" hidden="false" customHeight="false" outlineLevel="0" collapsed="false">
      <c r="B15" s="3" t="s">
        <v>11</v>
      </c>
    </row>
    <row r="16" customFormat="false" ht="15" hidden="false" customHeight="false" outlineLevel="0" collapsed="false">
      <c r="B16" s="4" t="s">
        <v>12</v>
      </c>
    </row>
    <row r="17" customFormat="false" ht="15" hidden="false" customHeight="false" outlineLevel="0" collapsed="false">
      <c r="B17" s="4" t="s">
        <v>13</v>
      </c>
    </row>
    <row r="18" customFormat="false" ht="15" hidden="false" customHeight="false" outlineLevel="0" collapsed="false">
      <c r="B18" s="4" t="s">
        <v>14</v>
      </c>
    </row>
    <row r="19" customFormat="false" ht="15" hidden="false" customHeight="false" outlineLevel="0" collapsed="false">
      <c r="B19" s="4" t="s">
        <v>15</v>
      </c>
    </row>
    <row r="20" customFormat="false" ht="15" hidden="false" customHeight="false" outlineLevel="0" collapsed="false">
      <c r="B20" s="4" t="s">
        <v>16</v>
      </c>
    </row>
    <row r="22" customFormat="false" ht="15" hidden="false" customHeight="false" outlineLevel="0" collapsed="false">
      <c r="B22" s="3" t="s">
        <v>17</v>
      </c>
    </row>
    <row r="23" customFormat="false" ht="15" hidden="false" customHeight="false" outlineLevel="0" collapsed="false">
      <c r="B23" s="4" t="s">
        <v>18</v>
      </c>
    </row>
    <row r="24" customFormat="false" ht="15" hidden="false" customHeight="false" outlineLevel="0" collapsed="false">
      <c r="B24" s="4" t="s">
        <v>19</v>
      </c>
    </row>
    <row r="25" customFormat="false" ht="15" hidden="false" customHeight="false" outlineLevel="0" collapsed="false">
      <c r="B25" s="4" t="s">
        <v>20</v>
      </c>
    </row>
    <row r="26" customFormat="false" ht="15" hidden="false" customHeight="false" outlineLevel="0" collapsed="false">
      <c r="B26" s="4" t="s">
        <v>21</v>
      </c>
    </row>
    <row r="28" customFormat="false" ht="15" hidden="false" customHeight="false" outlineLevel="0" collapsed="false">
      <c r="B28" s="5" t="s">
        <v>22</v>
      </c>
    </row>
    <row r="29" customFormat="false" ht="15" hidden="false" customHeight="false" outlineLevel="0" collapsed="false">
      <c r="B29" s="6" t="s">
        <v>23</v>
      </c>
    </row>
    <row r="30" customFormat="false" ht="15" hidden="false" customHeight="false" outlineLevel="0" collapsed="false">
      <c r="B30" s="7" t="s">
        <v>24</v>
      </c>
    </row>
    <row r="31" customFormat="false" ht="15" hidden="false" customHeight="false" outlineLevel="0" collapsed="false">
      <c r="B31" s="8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8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7" min="2" style="0" width="14"/>
    <col collapsed="false" customWidth="true" hidden="false" outlineLevel="0" max="8" min="8" style="0" width="4"/>
    <col collapsed="false" customWidth="true" hidden="false" outlineLevel="0" max="9" min="9" style="0" width="14"/>
    <col collapsed="false" customWidth="true" hidden="false" outlineLevel="0" max="11" min="10" style="0" width="13"/>
    <col collapsed="false" customWidth="true" hidden="false" outlineLevel="0" max="12" min="12" style="0" width="12"/>
    <col collapsed="false" customWidth="true" hidden="false" outlineLevel="0" max="13" min="13" style="0" width="15"/>
  </cols>
  <sheetData>
    <row r="1" customFormat="false" ht="17.35" hidden="false" customHeight="false" outlineLevel="0" collapsed="false">
      <c r="A1" s="1" t="s">
        <v>26</v>
      </c>
    </row>
    <row r="2" customFormat="false" ht="15" hidden="false" customHeight="false" outlineLevel="0" collapsed="false">
      <c r="A2" s="2" t="s">
        <v>27</v>
      </c>
    </row>
    <row r="3" customFormat="false" ht="15" hidden="false" customHeight="false" outlineLevel="0" collapsed="false">
      <c r="A3" s="2" t="s">
        <v>28</v>
      </c>
    </row>
    <row r="5" customFormat="false" ht="15" hidden="false" customHeight="false" outlineLevel="0" collapsed="false">
      <c r="A5" s="9" t="s">
        <v>29</v>
      </c>
      <c r="B5" s="9"/>
      <c r="C5" s="9"/>
      <c r="I5" s="9" t="s">
        <v>30</v>
      </c>
      <c r="J5" s="9" t="s">
        <v>31</v>
      </c>
      <c r="K5" s="9" t="s">
        <v>32</v>
      </c>
      <c r="L5" s="9" t="s">
        <v>33</v>
      </c>
      <c r="M5" s="9" t="s">
        <v>34</v>
      </c>
    </row>
    <row r="6" customFormat="false" ht="15" hidden="false" customHeight="false" outlineLevel="0" collapsed="false">
      <c r="A6" s="0" t="s">
        <v>35</v>
      </c>
      <c r="B6" s="10" t="n">
        <v>25</v>
      </c>
      <c r="I6" s="5" t="s">
        <v>36</v>
      </c>
      <c r="J6" s="11" t="n">
        <v>1.1</v>
      </c>
      <c r="K6" s="12" t="n">
        <v>0.3</v>
      </c>
      <c r="L6" s="12" t="n">
        <v>0.25</v>
      </c>
      <c r="M6" s="13" t="n">
        <f aca="false">J6/(1+(1-L6)*K6)</f>
        <v>0.897959183673469</v>
      </c>
    </row>
    <row r="7" customFormat="false" ht="15" hidden="false" customHeight="false" outlineLevel="0" collapsed="false">
      <c r="A7" s="0" t="s">
        <v>37</v>
      </c>
      <c r="B7" s="14" t="n">
        <v>100</v>
      </c>
      <c r="I7" s="5" t="s">
        <v>38</v>
      </c>
      <c r="J7" s="11" t="n">
        <v>1.25</v>
      </c>
      <c r="K7" s="12" t="n">
        <v>0.5</v>
      </c>
      <c r="L7" s="12" t="n">
        <v>0.25</v>
      </c>
      <c r="M7" s="13" t="n">
        <f aca="false">J7/(1+(1-L7)*K7)</f>
        <v>0.909090909090909</v>
      </c>
    </row>
    <row r="8" customFormat="false" ht="15" hidden="false" customHeight="false" outlineLevel="0" collapsed="false">
      <c r="A8" s="0" t="s">
        <v>39</v>
      </c>
      <c r="B8" s="14" t="n">
        <v>280</v>
      </c>
      <c r="I8" s="5" t="s">
        <v>40</v>
      </c>
      <c r="J8" s="11" t="n">
        <v>0.95</v>
      </c>
      <c r="K8" s="12" t="n">
        <v>0.2</v>
      </c>
      <c r="L8" s="12" t="n">
        <v>0.25</v>
      </c>
      <c r="M8" s="13" t="n">
        <f aca="false">J8/(1+(1-L8)*K8)</f>
        <v>0.826086956521739</v>
      </c>
    </row>
    <row r="9" customFormat="false" ht="15" hidden="false" customHeight="false" outlineLevel="0" collapsed="false">
      <c r="A9" s="0" t="s">
        <v>41</v>
      </c>
      <c r="B9" s="14" t="n">
        <v>95</v>
      </c>
      <c r="I9" s="5" t="s">
        <v>42</v>
      </c>
      <c r="J9" s="11" t="n">
        <v>1.3</v>
      </c>
      <c r="K9" s="12" t="n">
        <v>0.6</v>
      </c>
      <c r="L9" s="12" t="n">
        <v>0.25</v>
      </c>
      <c r="M9" s="13" t="n">
        <f aca="false">J9/(1+(1-L9)*K9)</f>
        <v>0.896551724137931</v>
      </c>
    </row>
    <row r="10" customFormat="false" ht="15" hidden="false" customHeight="false" outlineLevel="0" collapsed="false">
      <c r="A10" s="0" t="s">
        <v>33</v>
      </c>
      <c r="B10" s="12" t="n">
        <v>0.25</v>
      </c>
    </row>
    <row r="11" customFormat="false" ht="15" hidden="false" customHeight="false" outlineLevel="0" collapsed="false">
      <c r="A11" s="0" t="s">
        <v>43</v>
      </c>
      <c r="B11" s="12" t="n">
        <v>0.0425</v>
      </c>
      <c r="I11" s="15" t="s">
        <v>44</v>
      </c>
      <c r="K11" s="13" t="n">
        <f aca="false">MEDIAN(M6:M9)</f>
        <v>0.8972554539057</v>
      </c>
    </row>
    <row r="12" customFormat="false" ht="15" hidden="false" customHeight="false" outlineLevel="0" collapsed="false">
      <c r="A12" s="0" t="s">
        <v>45</v>
      </c>
      <c r="B12" s="12" t="n">
        <v>0.055</v>
      </c>
      <c r="I12" s="15" t="s">
        <v>46</v>
      </c>
      <c r="K12" s="16" t="n">
        <f aca="false">B8/B22</f>
        <v>0.112</v>
      </c>
    </row>
    <row r="13" customFormat="false" ht="15" hidden="false" customHeight="false" outlineLevel="0" collapsed="false">
      <c r="A13" s="0" t="s">
        <v>47</v>
      </c>
      <c r="B13" s="13" t="n">
        <f aca="false">K13</f>
        <v>0.972624912033779</v>
      </c>
      <c r="I13" s="17" t="s">
        <v>48</v>
      </c>
      <c r="K13" s="18" t="n">
        <f aca="false">K11*(1+(1-B10)*K12)</f>
        <v>0.972624912033779</v>
      </c>
    </row>
    <row r="14" customFormat="false" ht="15" hidden="false" customHeight="false" outlineLevel="0" collapsed="false">
      <c r="A14" s="0" t="s">
        <v>49</v>
      </c>
      <c r="B14" s="12" t="n">
        <v>0.075</v>
      </c>
      <c r="I14" s="2" t="s">
        <v>50</v>
      </c>
    </row>
    <row r="15" customFormat="false" ht="15" hidden="false" customHeight="false" outlineLevel="0" collapsed="false">
      <c r="A15" s="0" t="s">
        <v>51</v>
      </c>
      <c r="B15" s="12" t="n">
        <v>0.025</v>
      </c>
    </row>
    <row r="16" customFormat="false" ht="15" hidden="false" customHeight="false" outlineLevel="0" collapsed="false">
      <c r="A16" s="0" t="s">
        <v>52</v>
      </c>
      <c r="B16" s="19" t="n">
        <v>9</v>
      </c>
    </row>
    <row r="17" customFormat="false" ht="15" hidden="false" customHeight="false" outlineLevel="0" collapsed="false">
      <c r="A17" s="0" t="s">
        <v>53</v>
      </c>
      <c r="B17" s="20" t="n">
        <v>1</v>
      </c>
    </row>
    <row r="19" customFormat="false" ht="15" hidden="false" customHeight="false" outlineLevel="0" collapsed="false">
      <c r="A19" s="9" t="s">
        <v>54</v>
      </c>
      <c r="B19" s="9"/>
      <c r="C19" s="9"/>
    </row>
    <row r="20" customFormat="false" ht="15" hidden="false" customHeight="false" outlineLevel="0" collapsed="false">
      <c r="A20" s="0" t="s">
        <v>55</v>
      </c>
      <c r="B20" s="16" t="n">
        <f aca="false">B11+B13*B12</f>
        <v>0.0959943701618579</v>
      </c>
    </row>
    <row r="21" customFormat="false" ht="15" hidden="false" customHeight="false" outlineLevel="0" collapsed="false">
      <c r="A21" s="0" t="s">
        <v>56</v>
      </c>
      <c r="B21" s="16" t="n">
        <f aca="false">B14*(1-B10)</f>
        <v>0.05625</v>
      </c>
    </row>
    <row r="22" customFormat="false" ht="15" hidden="false" customHeight="false" outlineLevel="0" collapsed="false">
      <c r="A22" s="0" t="s">
        <v>57</v>
      </c>
      <c r="B22" s="21" t="n">
        <f aca="false">B6*B7</f>
        <v>2500</v>
      </c>
    </row>
    <row r="23" customFormat="false" ht="15" hidden="false" customHeight="false" outlineLevel="0" collapsed="false">
      <c r="A23" s="0" t="s">
        <v>58</v>
      </c>
      <c r="B23" s="21" t="n">
        <f aca="false">B8</f>
        <v>280</v>
      </c>
    </row>
    <row r="24" customFormat="false" ht="15" hidden="false" customHeight="false" outlineLevel="0" collapsed="false">
      <c r="A24" s="0" t="s">
        <v>59</v>
      </c>
      <c r="B24" s="16" t="n">
        <f aca="false">B22/(B22+B23)</f>
        <v>0.899280575539568</v>
      </c>
    </row>
    <row r="25" customFormat="false" ht="15" hidden="false" customHeight="false" outlineLevel="0" collapsed="false">
      <c r="A25" s="0" t="s">
        <v>60</v>
      </c>
      <c r="B25" s="16" t="n">
        <f aca="false">B23/(B22+B23)</f>
        <v>0.100719424460432</v>
      </c>
    </row>
    <row r="26" customFormat="false" ht="15" hidden="false" customHeight="false" outlineLevel="0" collapsed="false">
      <c r="A26" s="17" t="s">
        <v>54</v>
      </c>
      <c r="B26" s="22" t="n">
        <f aca="false">B24*B20+B25*B21</f>
        <v>0.0919913400736132</v>
      </c>
    </row>
    <row r="28" customFormat="false" ht="15" hidden="false" customHeight="false" outlineLevel="0" collapsed="false">
      <c r="A28" s="9" t="s">
        <v>61</v>
      </c>
      <c r="B28" s="9"/>
      <c r="C28" s="9"/>
      <c r="D28" s="9"/>
      <c r="E28" s="9"/>
      <c r="F28" s="9"/>
      <c r="G28" s="9"/>
    </row>
    <row r="29" customFormat="false" ht="15" hidden="false" customHeight="false" outlineLevel="0" collapsed="false">
      <c r="B29" s="23" t="s">
        <v>62</v>
      </c>
      <c r="C29" s="23" t="s">
        <v>63</v>
      </c>
      <c r="D29" s="23" t="s">
        <v>64</v>
      </c>
      <c r="E29" s="23" t="s">
        <v>65</v>
      </c>
      <c r="F29" s="23" t="s">
        <v>66</v>
      </c>
      <c r="G29" s="23" t="s">
        <v>67</v>
      </c>
    </row>
    <row r="30" customFormat="false" ht="15" hidden="false" customHeight="false" outlineLevel="0" collapsed="false">
      <c r="A30" s="0" t="s">
        <v>68</v>
      </c>
      <c r="C30" s="12" t="n">
        <v>0.08</v>
      </c>
      <c r="D30" s="12" t="n">
        <v>0.07</v>
      </c>
      <c r="E30" s="12" t="n">
        <v>0.06</v>
      </c>
      <c r="F30" s="12" t="n">
        <v>0.05</v>
      </c>
      <c r="G30" s="12" t="n">
        <v>0.04</v>
      </c>
    </row>
    <row r="31" customFormat="false" ht="15" hidden="false" customHeight="false" outlineLevel="0" collapsed="false">
      <c r="A31" s="0" t="s">
        <v>69</v>
      </c>
      <c r="C31" s="12" t="n">
        <v>0.215</v>
      </c>
      <c r="D31" s="12" t="n">
        <v>0.22</v>
      </c>
      <c r="E31" s="12" t="n">
        <v>0.225</v>
      </c>
      <c r="F31" s="12" t="n">
        <v>0.23</v>
      </c>
      <c r="G31" s="12" t="n">
        <v>0.23</v>
      </c>
    </row>
    <row r="32" customFormat="false" ht="15" hidden="false" customHeight="false" outlineLevel="0" collapsed="false">
      <c r="A32" s="0" t="s">
        <v>70</v>
      </c>
      <c r="C32" s="12" t="n">
        <v>0.04</v>
      </c>
      <c r="D32" s="12" t="n">
        <v>0.04</v>
      </c>
      <c r="E32" s="12" t="n">
        <v>0.04</v>
      </c>
      <c r="F32" s="12" t="n">
        <v>0.04</v>
      </c>
      <c r="G32" s="12" t="n">
        <v>0.04</v>
      </c>
    </row>
    <row r="33" customFormat="false" ht="15" hidden="false" customHeight="false" outlineLevel="0" collapsed="false">
      <c r="A33" s="0" t="s">
        <v>71</v>
      </c>
      <c r="C33" s="12" t="n">
        <v>0.05</v>
      </c>
      <c r="D33" s="12" t="n">
        <v>0.05</v>
      </c>
      <c r="E33" s="12" t="n">
        <v>0.05</v>
      </c>
      <c r="F33" s="12" t="n">
        <v>0.05</v>
      </c>
      <c r="G33" s="12" t="n">
        <v>0.05</v>
      </c>
    </row>
    <row r="34" customFormat="false" ht="15" hidden="false" customHeight="false" outlineLevel="0" collapsed="false">
      <c r="A34" s="0" t="s">
        <v>72</v>
      </c>
      <c r="C34" s="12" t="n">
        <v>0.16</v>
      </c>
      <c r="D34" s="12" t="n">
        <v>0.16</v>
      </c>
      <c r="E34" s="12" t="n">
        <v>0.16</v>
      </c>
      <c r="F34" s="12" t="n">
        <v>0.16</v>
      </c>
      <c r="G34" s="12" t="n">
        <v>0.16</v>
      </c>
    </row>
    <row r="36" customFormat="false" ht="15" hidden="false" customHeight="false" outlineLevel="0" collapsed="false">
      <c r="A36" s="0" t="s">
        <v>73</v>
      </c>
      <c r="B36" s="24" t="n">
        <v>1100</v>
      </c>
      <c r="C36" s="25" t="n">
        <f aca="false">B36*(1+C30)</f>
        <v>1188</v>
      </c>
      <c r="D36" s="25" t="n">
        <f aca="false">C36*(1+D30)</f>
        <v>1271.16</v>
      </c>
      <c r="E36" s="25" t="n">
        <f aca="false">D36*(1+E30)</f>
        <v>1347.4296</v>
      </c>
      <c r="F36" s="25" t="n">
        <f aca="false">E36*(1+F30)</f>
        <v>1414.80108</v>
      </c>
      <c r="G36" s="25" t="n">
        <f aca="false">F36*(1+G30)</f>
        <v>1471.3931232</v>
      </c>
    </row>
    <row r="37" customFormat="false" ht="15" hidden="false" customHeight="false" outlineLevel="0" collapsed="false">
      <c r="A37" s="0" t="s">
        <v>74</v>
      </c>
      <c r="B37" s="24" t="n">
        <v>230</v>
      </c>
      <c r="C37" s="21" t="n">
        <f aca="false">C36*C31</f>
        <v>255.42</v>
      </c>
      <c r="D37" s="21" t="n">
        <f aca="false">D36*D31</f>
        <v>279.6552</v>
      </c>
      <c r="E37" s="21" t="n">
        <f aca="false">E36*E31</f>
        <v>303.17166</v>
      </c>
      <c r="F37" s="21" t="n">
        <f aca="false">F36*F31</f>
        <v>325.4042484</v>
      </c>
      <c r="G37" s="21" t="n">
        <f aca="false">G36*G31</f>
        <v>338.420418336</v>
      </c>
    </row>
    <row r="38" customFormat="false" ht="15" hidden="false" customHeight="false" outlineLevel="0" collapsed="false">
      <c r="A38" s="0" t="s">
        <v>75</v>
      </c>
      <c r="B38" s="24" t="n">
        <v>44</v>
      </c>
      <c r="C38" s="21" t="n">
        <f aca="false">C36*C32</f>
        <v>47.52</v>
      </c>
      <c r="D38" s="21" t="n">
        <f aca="false">D36*D32</f>
        <v>50.8464</v>
      </c>
      <c r="E38" s="21" t="n">
        <f aca="false">E36*E32</f>
        <v>53.897184</v>
      </c>
      <c r="F38" s="21" t="n">
        <f aca="false">F36*F32</f>
        <v>56.5920432</v>
      </c>
      <c r="G38" s="21" t="n">
        <f aca="false">G36*G32</f>
        <v>58.855724928</v>
      </c>
    </row>
    <row r="39" customFormat="false" ht="15" hidden="false" customHeight="false" outlineLevel="0" collapsed="false">
      <c r="A39" s="0" t="s">
        <v>76</v>
      </c>
      <c r="B39" s="21" t="n">
        <f aca="false">B37-B38</f>
        <v>186</v>
      </c>
      <c r="C39" s="26" t="n">
        <f aca="false">C37-C38</f>
        <v>207.9</v>
      </c>
      <c r="D39" s="26" t="n">
        <f aca="false">D37-D38</f>
        <v>228.8088</v>
      </c>
      <c r="E39" s="26" t="n">
        <f aca="false">E37-E38</f>
        <v>249.274476</v>
      </c>
      <c r="F39" s="26" t="n">
        <f aca="false">F37-F38</f>
        <v>268.8122052</v>
      </c>
      <c r="G39" s="26" t="n">
        <f aca="false">G37-G38</f>
        <v>279.564693408</v>
      </c>
    </row>
    <row r="40" customFormat="false" ht="15" hidden="false" customHeight="false" outlineLevel="0" collapsed="false">
      <c r="A40" s="0" t="s">
        <v>77</v>
      </c>
      <c r="C40" s="21" t="n">
        <f aca="false">C39*(1-$B$10)</f>
        <v>155.925</v>
      </c>
      <c r="D40" s="21" t="n">
        <f aca="false">D39*(1-$B$10)</f>
        <v>171.6066</v>
      </c>
      <c r="E40" s="21" t="n">
        <f aca="false">E39*(1-$B$10)</f>
        <v>186.955857</v>
      </c>
      <c r="F40" s="21" t="n">
        <f aca="false">F39*(1-$B$10)</f>
        <v>201.6091539</v>
      </c>
      <c r="G40" s="21" t="n">
        <f aca="false">G39*(1-$B$10)</f>
        <v>209.673520056</v>
      </c>
    </row>
    <row r="41" customFormat="false" ht="15" hidden="false" customHeight="false" outlineLevel="0" collapsed="false">
      <c r="A41" s="0" t="s">
        <v>78</v>
      </c>
      <c r="C41" s="21" t="n">
        <f aca="false">C38</f>
        <v>47.52</v>
      </c>
      <c r="D41" s="21" t="n">
        <f aca="false">D38</f>
        <v>50.8464</v>
      </c>
      <c r="E41" s="21" t="n">
        <f aca="false">E38</f>
        <v>53.897184</v>
      </c>
      <c r="F41" s="21" t="n">
        <f aca="false">F38</f>
        <v>56.5920432</v>
      </c>
      <c r="G41" s="21" t="n">
        <f aca="false">G38</f>
        <v>58.855724928</v>
      </c>
    </row>
    <row r="42" customFormat="false" ht="15" hidden="false" customHeight="false" outlineLevel="0" collapsed="false">
      <c r="A42" s="0" t="s">
        <v>79</v>
      </c>
      <c r="C42" s="21" t="n">
        <f aca="false">-C36*C33</f>
        <v>-59.4</v>
      </c>
      <c r="D42" s="21" t="n">
        <f aca="false">-D36*D33</f>
        <v>-63.558</v>
      </c>
      <c r="E42" s="21" t="n">
        <f aca="false">-E36*E33</f>
        <v>-67.37148</v>
      </c>
      <c r="F42" s="21" t="n">
        <f aca="false">-F36*F33</f>
        <v>-70.740054</v>
      </c>
      <c r="G42" s="21" t="n">
        <f aca="false">-G36*G33</f>
        <v>-73.56965616</v>
      </c>
    </row>
    <row r="43" customFormat="false" ht="15" hidden="false" customHeight="false" outlineLevel="0" collapsed="false">
      <c r="A43" s="0" t="s">
        <v>80</v>
      </c>
      <c r="C43" s="21" t="n">
        <f aca="false">-(C36-B36)*C34</f>
        <v>-14.08</v>
      </c>
      <c r="D43" s="21" t="n">
        <f aca="false">-(D36-C36)*D34</f>
        <v>-13.3056</v>
      </c>
      <c r="E43" s="21" t="n">
        <f aca="false">-(E36-D36)*E34</f>
        <v>-12.203136</v>
      </c>
      <c r="F43" s="21" t="n">
        <f aca="false">-(F36-E36)*F34</f>
        <v>-10.7794368</v>
      </c>
      <c r="G43" s="21" t="n">
        <f aca="false">-(G36-F36)*G34</f>
        <v>-9.05472691200001</v>
      </c>
    </row>
    <row r="44" customFormat="false" ht="15" hidden="false" customHeight="false" outlineLevel="0" collapsed="false">
      <c r="A44" s="17" t="s">
        <v>81</v>
      </c>
      <c r="C44" s="27" t="n">
        <f aca="false">SUM(C40:C43)</f>
        <v>129.965</v>
      </c>
      <c r="D44" s="27" t="n">
        <f aca="false">SUM(D40:D43)</f>
        <v>145.5894</v>
      </c>
      <c r="E44" s="27" t="n">
        <f aca="false">SUM(E40:E43)</f>
        <v>161.278425</v>
      </c>
      <c r="F44" s="27" t="n">
        <f aca="false">SUM(F40:F43)</f>
        <v>176.6817063</v>
      </c>
      <c r="G44" s="27" t="n">
        <f aca="false">SUM(G40:G43)</f>
        <v>185.904861912</v>
      </c>
    </row>
    <row r="46" customFormat="false" ht="15" hidden="false" customHeight="false" outlineLevel="0" collapsed="false">
      <c r="A46" s="0" t="s">
        <v>82</v>
      </c>
      <c r="C46" s="28" t="n">
        <v>1</v>
      </c>
      <c r="D46" s="29" t="n">
        <f aca="false">C46+1</f>
        <v>2</v>
      </c>
      <c r="E46" s="29" t="n">
        <f aca="false">D46+1</f>
        <v>3</v>
      </c>
      <c r="F46" s="29" t="n">
        <f aca="false">E46+1</f>
        <v>4</v>
      </c>
      <c r="G46" s="29" t="n">
        <f aca="false">F46+1</f>
        <v>5</v>
      </c>
    </row>
    <row r="47" customFormat="false" ht="15" hidden="false" customHeight="false" outlineLevel="0" collapsed="false">
      <c r="A47" s="0" t="s">
        <v>83</v>
      </c>
      <c r="C47" s="30" t="n">
        <f aca="false">C46-0.5*$B$17</f>
        <v>0.5</v>
      </c>
      <c r="D47" s="30" t="n">
        <f aca="false">D46-0.5*$B$17</f>
        <v>1.5</v>
      </c>
      <c r="E47" s="30" t="n">
        <f aca="false">E46-0.5*$B$17</f>
        <v>2.5</v>
      </c>
      <c r="F47" s="30" t="n">
        <f aca="false">F46-0.5*$B$17</f>
        <v>3.5</v>
      </c>
      <c r="G47" s="30" t="n">
        <f aca="false">G46-0.5*$B$17</f>
        <v>4.5</v>
      </c>
    </row>
    <row r="48" customFormat="false" ht="15" hidden="false" customHeight="false" outlineLevel="0" collapsed="false">
      <c r="A48" s="0" t="s">
        <v>84</v>
      </c>
      <c r="C48" s="31" t="n">
        <f aca="false">1/(1+$B$26)^C47</f>
        <v>0.956952547423602</v>
      </c>
      <c r="D48" s="31" t="n">
        <f aca="false">1/(1+$B$26)^D47</f>
        <v>0.876337121280735</v>
      </c>
      <c r="E48" s="31" t="n">
        <f aca="false">1/(1+$B$26)^E47</f>
        <v>0.802512885515795</v>
      </c>
      <c r="F48" s="31" t="n">
        <f aca="false">1/(1+$B$26)^F47</f>
        <v>0.734907737877936</v>
      </c>
      <c r="G48" s="31" t="n">
        <f aca="false">1/(1+$B$26)^G47</f>
        <v>0.672997771052282</v>
      </c>
    </row>
    <row r="49" customFormat="false" ht="15" hidden="false" customHeight="false" outlineLevel="0" collapsed="false">
      <c r="A49" s="0" t="s">
        <v>85</v>
      </c>
      <c r="C49" s="21" t="n">
        <f aca="false">C44*C48</f>
        <v>124.370337825908</v>
      </c>
      <c r="D49" s="21" t="n">
        <f aca="false">D44*D48</f>
        <v>127.585395684989</v>
      </c>
      <c r="E49" s="21" t="n">
        <f aca="false">E44*E48</f>
        <v>129.428014218193</v>
      </c>
      <c r="F49" s="21" t="n">
        <f aca="false">F44*F48</f>
        <v>129.844753101347</v>
      </c>
      <c r="G49" s="21" t="n">
        <f aca="false">G44*G48</f>
        <v>125.113557694558</v>
      </c>
    </row>
    <row r="51" customFormat="false" ht="15" hidden="false" customHeight="false" outlineLevel="0" collapsed="false">
      <c r="A51" s="9" t="s">
        <v>86</v>
      </c>
      <c r="B51" s="9"/>
      <c r="C51" s="9"/>
    </row>
    <row r="52" customFormat="false" ht="23.85" hidden="false" customHeight="false" outlineLevel="0" collapsed="false">
      <c r="B52" s="32" t="s">
        <v>87</v>
      </c>
      <c r="C52" s="32" t="s">
        <v>88</v>
      </c>
    </row>
    <row r="53" customFormat="false" ht="15" hidden="false" customHeight="false" outlineLevel="0" collapsed="false">
      <c r="A53" s="0" t="s">
        <v>89</v>
      </c>
      <c r="B53" s="21" t="n">
        <f aca="false">SUM($C$49:$G$49)</f>
        <v>636.342058524996</v>
      </c>
      <c r="C53" s="21" t="n">
        <f aca="false">SUM($C$49:$G$49)</f>
        <v>636.342058524996</v>
      </c>
    </row>
    <row r="54" customFormat="false" ht="15" hidden="false" customHeight="false" outlineLevel="0" collapsed="false">
      <c r="A54" s="0" t="s">
        <v>90</v>
      </c>
      <c r="B54" s="21" t="n">
        <f aca="false">G44*(1+B15)/(B26-B15)</f>
        <v>2844.43456796673</v>
      </c>
      <c r="C54" s="21" t="n">
        <f aca="false">G37*B16</f>
        <v>3045.783765024</v>
      </c>
    </row>
    <row r="55" customFormat="false" ht="15" hidden="false" customHeight="false" outlineLevel="0" collapsed="false">
      <c r="A55" s="0" t="s">
        <v>91</v>
      </c>
      <c r="B55" s="21" t="n">
        <f aca="false">B54/(1+$B$26)^$G$46</f>
        <v>1831.89246642942</v>
      </c>
      <c r="C55" s="21" t="n">
        <f aca="false">C54/(1+$B$26)^$G$46</f>
        <v>1961.56677195387</v>
      </c>
    </row>
    <row r="56" customFormat="false" ht="15" hidden="false" customHeight="false" outlineLevel="0" collapsed="false">
      <c r="A56" s="17" t="s">
        <v>92</v>
      </c>
      <c r="B56" s="25" t="n">
        <f aca="false">B53+B55</f>
        <v>2468.23452495442</v>
      </c>
      <c r="C56" s="25" t="n">
        <f aca="false">C53+C55</f>
        <v>2597.90883047887</v>
      </c>
    </row>
    <row r="57" customFormat="false" ht="15" hidden="false" customHeight="false" outlineLevel="0" collapsed="false">
      <c r="A57" s="0" t="s">
        <v>93</v>
      </c>
      <c r="B57" s="21" t="n">
        <f aca="false">-$B$8</f>
        <v>-280</v>
      </c>
      <c r="C57" s="21" t="n">
        <f aca="false">-$B$8</f>
        <v>-280</v>
      </c>
    </row>
    <row r="58" customFormat="false" ht="15" hidden="false" customHeight="false" outlineLevel="0" collapsed="false">
      <c r="A58" s="0" t="s">
        <v>94</v>
      </c>
      <c r="B58" s="21" t="n">
        <f aca="false">$B$9</f>
        <v>95</v>
      </c>
      <c r="C58" s="21" t="n">
        <f aca="false">$B$9</f>
        <v>95</v>
      </c>
    </row>
    <row r="59" customFormat="false" ht="15" hidden="false" customHeight="false" outlineLevel="0" collapsed="false">
      <c r="A59" s="0" t="s">
        <v>95</v>
      </c>
      <c r="B59" s="21" t="n">
        <f aca="false">SUM(B56:B58)</f>
        <v>2283.23452495442</v>
      </c>
      <c r="C59" s="21" t="n">
        <f aca="false">SUM(C56:C58)</f>
        <v>2412.90883047887</v>
      </c>
    </row>
    <row r="60" customFormat="false" ht="15" hidden="false" customHeight="false" outlineLevel="0" collapsed="false">
      <c r="A60" s="17" t="s">
        <v>96</v>
      </c>
      <c r="B60" s="33" t="n">
        <f aca="false">B59/$B$7</f>
        <v>22.8323452495442</v>
      </c>
      <c r="C60" s="33" t="n">
        <f aca="false">C59/$B$7</f>
        <v>24.1290883047887</v>
      </c>
    </row>
    <row r="61" customFormat="false" ht="15" hidden="false" customHeight="false" outlineLevel="0" collapsed="false">
      <c r="A61" s="0" t="s">
        <v>97</v>
      </c>
      <c r="B61" s="16" t="n">
        <f aca="false">B60/$B$6-1</f>
        <v>-0.086706190018234</v>
      </c>
      <c r="C61" s="16" t="n">
        <f aca="false">C60/$B$6-1</f>
        <v>-0.0348364678084527</v>
      </c>
    </row>
    <row r="62" customFormat="false" ht="15" hidden="false" customHeight="false" outlineLevel="0" collapsed="false">
      <c r="A62" s="0" t="s">
        <v>98</v>
      </c>
      <c r="B62" s="16" t="n">
        <f aca="false">B55/B56</f>
        <v>0.742187360199595</v>
      </c>
      <c r="C62" s="16" t="n">
        <f aca="false">C55/C56</f>
        <v>0.755056046979255</v>
      </c>
    </row>
    <row r="63" customFormat="false" ht="15" hidden="false" customHeight="false" outlineLevel="0" collapsed="false">
      <c r="A63" s="0" t="s">
        <v>99</v>
      </c>
      <c r="B63" s="34" t="n">
        <f aca="false">B54/G37</f>
        <v>8.40503236167812</v>
      </c>
      <c r="C63" s="16" t="n">
        <f aca="false">(C54*B26-G44)/(C54+G44)</f>
        <v>0.0291738713380941</v>
      </c>
    </row>
    <row r="64" customFormat="false" ht="15" hidden="false" customHeight="false" outlineLevel="0" collapsed="false">
      <c r="A64" s="2" t="s">
        <v>100</v>
      </c>
    </row>
    <row r="66" customFormat="false" ht="15" hidden="false" customHeight="false" outlineLevel="0" collapsed="false">
      <c r="A66" s="9" t="s">
        <v>101</v>
      </c>
      <c r="B66" s="9"/>
      <c r="C66" s="9"/>
      <c r="D66" s="9"/>
      <c r="E66" s="9"/>
      <c r="F66" s="9"/>
      <c r="G66" s="9"/>
    </row>
    <row r="67" customFormat="false" ht="15" hidden="false" customHeight="false" outlineLevel="0" collapsed="false">
      <c r="B67" s="35" t="n">
        <f aca="false">$B$15+(-0.01)</f>
        <v>0.015</v>
      </c>
      <c r="C67" s="35" t="n">
        <f aca="false">$B$15+(-0.005)</f>
        <v>0.02</v>
      </c>
      <c r="D67" s="35" t="n">
        <f aca="false">$B$15+(0)</f>
        <v>0.025</v>
      </c>
      <c r="E67" s="35" t="n">
        <f aca="false">$B$15+(0.005)</f>
        <v>0.03</v>
      </c>
      <c r="F67" s="35" t="n">
        <f aca="false">$B$15+(0.01)</f>
        <v>0.035</v>
      </c>
    </row>
    <row r="68" customFormat="false" ht="15" hidden="false" customHeight="false" outlineLevel="0" collapsed="false">
      <c r="A68" s="36" t="n">
        <f aca="false">$B$26+(-0.01)</f>
        <v>0.0819913400736132</v>
      </c>
      <c r="B68" s="37" t="n">
        <f aca="false">(SUMPRODUCT($C$44:$G$44,1/(1+$A68)^$C$47:$G$47)+$G$44*(1+B$67)/($A68-B$67)/(1+$A68)^$G$46-$B$8+$B$9)/$B$7</f>
        <v>23.6564888863107</v>
      </c>
      <c r="C68" s="37" t="n">
        <f aca="false">(SUMPRODUCT($C$44:$G$44,1/(1+$A68)^$C$47:$G$47)+$G$44*(1+C$67)/($A68-C$67)/(1+$A68)^$G$46-$B$8+$B$9)/$B$7</f>
        <v>25.2896007092955</v>
      </c>
      <c r="D68" s="37" t="n">
        <f aca="false">(SUMPRODUCT($C$44:$G$44,1/(1+$A68)^$C$47:$G$47)+$G$44*(1+D$67)/($A68-D$67)/(1+$A68)^$G$46-$B$8+$B$9)/$B$7</f>
        <v>27.2092669142048</v>
      </c>
      <c r="E68" s="37" t="n">
        <f aca="false">(SUMPRODUCT($C$44:$G$44,1/(1+$A68)^$C$47:$G$47)+$G$44*(1+E$67)/($A68-E$67)/(1+$A68)^$G$46-$B$8+$B$9)/$B$7</f>
        <v>29.4981611871331</v>
      </c>
      <c r="F68" s="37" t="n">
        <f aca="false">(SUMPRODUCT($C$44:$G$44,1/(1+$A68)^$C$47:$G$47)+$G$44*(1+F$67)/($A68-F$67)/(1+$A68)^$G$46-$B$8+$B$9)/$B$7</f>
        <v>32.2741439894249</v>
      </c>
    </row>
    <row r="69" customFormat="false" ht="15" hidden="false" customHeight="false" outlineLevel="0" collapsed="false">
      <c r="A69" s="36" t="n">
        <f aca="false">$B$26+(-0.005)</f>
        <v>0.0869913400736132</v>
      </c>
      <c r="B69" s="37" t="n">
        <f aca="false">(SUMPRODUCT($C$44:$G$44,1/(1+$A69)^$C$47:$G$47)+$G$44*(1+B$67)/($A69-B$67)/(1+$A69)^$G$46-$B$8+$B$9)/$B$7</f>
        <v>21.8592963388738</v>
      </c>
      <c r="C69" s="37" t="n">
        <f aca="false">(SUMPRODUCT($C$44:$G$44,1/(1+$A69)^$C$47:$G$47)+$G$44*(1+C$67)/($A69-C$67)/(1+$A69)^$G$46-$B$8+$B$9)/$B$7</f>
        <v>23.2398633529964</v>
      </c>
      <c r="D69" s="37" t="n">
        <f aca="false">(SUMPRODUCT($C$44:$G$44,1/(1+$A69)^$C$47:$G$47)+$G$44*(1+D$67)/($A69-D$67)/(1+$A69)^$G$46-$B$8+$B$9)/$B$7</f>
        <v>24.8431335725155</v>
      </c>
      <c r="E69" s="37" t="n">
        <f aca="false">(SUMPRODUCT($C$44:$G$44,1/(1+$A69)^$C$47:$G$47)+$G$44*(1+E$67)/($A69-E$67)/(1+$A69)^$G$46-$B$8+$B$9)/$B$7</f>
        <v>26.7277220094074</v>
      </c>
      <c r="F69" s="37" t="n">
        <f aca="false">(SUMPRODUCT($C$44:$G$44,1/(1+$A69)^$C$47:$G$47)+$G$44*(1+F$67)/($A69-F$67)/(1+$A69)^$G$46-$B$8+$B$9)/$B$7</f>
        <v>28.9747916660992</v>
      </c>
    </row>
    <row r="70" customFormat="false" ht="15" hidden="false" customHeight="false" outlineLevel="0" collapsed="false">
      <c r="A70" s="36" t="n">
        <f aca="false">$B$26+(0)</f>
        <v>0.0919913400736132</v>
      </c>
      <c r="B70" s="37" t="n">
        <f aca="false">(SUMPRODUCT($C$44:$G$44,1/(1+$A70)^$C$47:$G$47)+$G$44*(1+B$67)/($A70-B$67)/(1+$A70)^$G$46-$B$8+$B$9)/$B$7</f>
        <v>20.2974884691368</v>
      </c>
      <c r="C70" s="37" t="n">
        <f aca="false">(SUMPRODUCT($C$44:$G$44,1/(1+$A70)^$C$47:$G$47)+$G$44*(1+C$67)/($A70-C$67)/(1+$A70)^$G$46-$B$8+$B$9)/$B$7</f>
        <v>21.4768904113741</v>
      </c>
      <c r="D70" s="38" t="n">
        <f aca="false">(SUMPRODUCT($C$44:$G$44,1/(1+$A70)^$C$47:$G$47)+$G$44*(1+D$67)/($A70-D$67)/(1+$A70)^$G$46-$B$8+$B$9)/$B$7</f>
        <v>22.8323452495442</v>
      </c>
      <c r="E70" s="37" t="n">
        <f aca="false">(SUMPRODUCT($C$44:$G$44,1/(1+$A70)^$C$47:$G$47)+$G$44*(1+E$67)/($A70-E$67)/(1+$A70)^$G$46-$B$8+$B$9)/$B$7</f>
        <v>24.4064523763339</v>
      </c>
      <c r="F70" s="37" t="n">
        <f aca="false">(SUMPRODUCT($C$44:$G$44,1/(1+$A70)^$C$47:$G$47)+$G$44*(1+F$67)/($A70-F$67)/(1+$A70)^$G$46-$B$8+$B$9)/$B$7</f>
        <v>26.2567606110037</v>
      </c>
    </row>
    <row r="71" customFormat="false" ht="15" hidden="false" customHeight="false" outlineLevel="0" collapsed="false">
      <c r="A71" s="36" t="n">
        <f aca="false">$B$26+(0.005)</f>
        <v>0.0969913400736132</v>
      </c>
      <c r="B71" s="37" t="n">
        <f aca="false">(SUMPRODUCT($C$44:$G$44,1/(1+$A71)^$C$47:$G$47)+$G$44*(1+B$67)/($A71-B$67)/(1+$A71)^$G$46-$B$8+$B$9)/$B$7</f>
        <v>18.9279301931697</v>
      </c>
      <c r="C71" s="37" t="n">
        <f aca="false">(SUMPRODUCT($C$44:$G$44,1/(1+$A71)^$C$47:$G$47)+$G$44*(1+C$67)/($A71-C$67)/(1+$A71)^$G$46-$B$8+$B$9)/$B$7</f>
        <v>19.9447361742328</v>
      </c>
      <c r="D71" s="37" t="n">
        <f aca="false">(SUMPRODUCT($C$44:$G$44,1/(1+$A71)^$C$47:$G$47)+$G$44*(1+D$67)/($A71-D$67)/(1+$A71)^$G$46-$B$8+$B$9)/$B$7</f>
        <v>21.1027821961151</v>
      </c>
      <c r="E71" s="37" t="n">
        <f aca="false">(SUMPRODUCT($C$44:$G$44,1/(1+$A71)^$C$47:$G$47)+$G$44*(1+E$67)/($A71-E$67)/(1+$A71)^$G$46-$B$8+$B$9)/$B$7</f>
        <v>22.4336932510911</v>
      </c>
      <c r="F71" s="37" t="n">
        <f aca="false">(SUMPRODUCT($C$44:$G$44,1/(1+$A71)^$C$47:$G$47)+$G$44*(1+F$67)/($A71-F$67)/(1+$A71)^$G$46-$B$8+$B$9)/$B$7</f>
        <v>23.9792973669682</v>
      </c>
    </row>
    <row r="72" customFormat="false" ht="15" hidden="false" customHeight="false" outlineLevel="0" collapsed="false">
      <c r="A72" s="36" t="n">
        <f aca="false">$B$26+(0.01)</f>
        <v>0.101991340073613</v>
      </c>
      <c r="B72" s="37" t="n">
        <f aca="false">(SUMPRODUCT($C$44:$G$44,1/(1+$A72)^$C$47:$G$47)+$G$44*(1+B$67)/($A72-B$67)/(1+$A72)^$G$46-$B$8+$B$9)/$B$7</f>
        <v>17.7174063849876</v>
      </c>
      <c r="C72" s="37" t="n">
        <f aca="false">(SUMPRODUCT($C$44:$G$44,1/(1+$A72)^$C$47:$G$47)+$G$44*(1+C$67)/($A72-C$67)/(1+$A72)^$G$46-$B$8+$B$9)/$B$7</f>
        <v>18.6011046858015</v>
      </c>
      <c r="D72" s="37" t="n">
        <f aca="false">(SUMPRODUCT($C$44:$G$44,1/(1+$A72)^$C$47:$G$47)+$G$44*(1+D$67)/($A72-D$67)/(1+$A72)^$G$46-$B$8+$B$9)/$B$7</f>
        <v>19.5995819085005</v>
      </c>
      <c r="E72" s="37" t="n">
        <f aca="false">(SUMPRODUCT($C$44:$G$44,1/(1+$A72)^$C$47:$G$47)+$G$44*(1+E$67)/($A72-E$67)/(1+$A72)^$G$46-$B$8+$B$9)/$B$7</f>
        <v>20.7367532049142</v>
      </c>
      <c r="F72" s="37" t="n">
        <f aca="false">(SUMPRODUCT($C$44:$G$44,1/(1+$A72)^$C$47:$G$47)+$G$44*(1+F$67)/($A72-F$67)/(1+$A72)^$G$46-$B$8+$B$9)/$B$7</f>
        <v>22.0436735009993</v>
      </c>
    </row>
    <row r="74" customFormat="false" ht="15" hidden="false" customHeight="false" outlineLevel="0" collapsed="false">
      <c r="A74" s="9" t="s">
        <v>102</v>
      </c>
      <c r="B74" s="9"/>
      <c r="C74" s="9"/>
      <c r="D74" s="9"/>
      <c r="E74" s="9"/>
      <c r="F74" s="9"/>
      <c r="G74" s="9"/>
    </row>
    <row r="75" customFormat="false" ht="15" hidden="false" customHeight="false" outlineLevel="0" collapsed="false">
      <c r="B75" s="39" t="n">
        <f aca="false">$B$16+(-2)</f>
        <v>7</v>
      </c>
      <c r="C75" s="39" t="n">
        <f aca="false">$B$16+(-1)</f>
        <v>8</v>
      </c>
      <c r="D75" s="39" t="n">
        <f aca="false">$B$16+(0)</f>
        <v>9</v>
      </c>
      <c r="E75" s="39" t="n">
        <f aca="false">$B$16+(1)</f>
        <v>10</v>
      </c>
      <c r="F75" s="39" t="n">
        <f aca="false">$B$16+(2)</f>
        <v>11</v>
      </c>
    </row>
    <row r="76" customFormat="false" ht="15" hidden="false" customHeight="false" outlineLevel="0" collapsed="false">
      <c r="A76" s="36" t="n">
        <f aca="false">$B$26+(-0.01)</f>
        <v>0.0819913400736132</v>
      </c>
      <c r="B76" s="37" t="n">
        <f aca="false">(SUMPRODUCT($C$44:$G$44,1/(1+$A76)^$C$47:$G$47)+$G$37*B$75/(1+$A76)^$G$46-$B$8+$B$9)/$B$7</f>
        <v>20.6371768556872</v>
      </c>
      <c r="C76" s="37" t="n">
        <f aca="false">(SUMPRODUCT($C$44:$G$44,1/(1+$A76)^$C$47:$G$47)+$G$37*C$75/(1+$A76)^$G$46-$B$8+$B$9)/$B$7</f>
        <v>22.9192924248875</v>
      </c>
      <c r="D76" s="37" t="n">
        <f aca="false">(SUMPRODUCT($C$44:$G$44,1/(1+$A76)^$C$47:$G$47)+$G$37*D$75/(1+$A76)^$G$46-$B$8+$B$9)/$B$7</f>
        <v>25.2014079940878</v>
      </c>
      <c r="E76" s="37" t="n">
        <f aca="false">(SUMPRODUCT($C$44:$G$44,1/(1+$A76)^$C$47:$G$47)+$G$37*E$75/(1+$A76)^$G$46-$B$8+$B$9)/$B$7</f>
        <v>27.4835235632881</v>
      </c>
      <c r="F76" s="37" t="n">
        <f aca="false">(SUMPRODUCT($C$44:$G$44,1/(1+$A76)^$C$47:$G$47)+$G$37*F$75/(1+$A76)^$G$46-$B$8+$B$9)/$B$7</f>
        <v>29.7656391324884</v>
      </c>
    </row>
    <row r="77" customFormat="false" ht="15" hidden="false" customHeight="false" outlineLevel="0" collapsed="false">
      <c r="A77" s="36" t="n">
        <f aca="false">$B$26+(-0.005)</f>
        <v>0.0869913400736132</v>
      </c>
      <c r="B77" s="37" t="n">
        <f aca="false">(SUMPRODUCT($C$44:$G$44,1/(1+$A77)^$C$47:$G$47)+$G$37*B$75/(1+$A77)^$G$46-$B$8+$B$9)/$B$7</f>
        <v>20.1979225300626</v>
      </c>
      <c r="C77" s="37" t="n">
        <f aca="false">(SUMPRODUCT($C$44:$G$44,1/(1+$A77)^$C$47:$G$47)+$G$37*C$75/(1+$A77)^$G$46-$B$8+$B$9)/$B$7</f>
        <v>22.4280317711957</v>
      </c>
      <c r="D77" s="37" t="n">
        <f aca="false">(SUMPRODUCT($C$44:$G$44,1/(1+$A77)^$C$47:$G$47)+$G$37*D$75/(1+$A77)^$G$46-$B$8+$B$9)/$B$7</f>
        <v>24.6581410123287</v>
      </c>
      <c r="E77" s="37" t="n">
        <f aca="false">(SUMPRODUCT($C$44:$G$44,1/(1+$A77)^$C$47:$G$47)+$G$37*E$75/(1+$A77)^$G$46-$B$8+$B$9)/$B$7</f>
        <v>26.8882502534618</v>
      </c>
      <c r="F77" s="37" t="n">
        <f aca="false">(SUMPRODUCT($C$44:$G$44,1/(1+$A77)^$C$47:$G$47)+$G$37*F$75/(1+$A77)^$G$46-$B$8+$B$9)/$B$7</f>
        <v>29.1183594945949</v>
      </c>
    </row>
    <row r="78" customFormat="false" ht="15" hidden="false" customHeight="false" outlineLevel="0" collapsed="false">
      <c r="A78" s="36" t="n">
        <f aca="false">$B$26+(0)</f>
        <v>0.0919913400736132</v>
      </c>
      <c r="B78" s="37" t="n">
        <f aca="false">(SUMPRODUCT($C$44:$G$44,1/(1+$A78)^$C$47:$G$47)+$G$37*B$75/(1+$A78)^$G$46-$B$8+$B$9)/$B$7</f>
        <v>19.7700510337801</v>
      </c>
      <c r="C78" s="37" t="n">
        <f aca="false">(SUMPRODUCT($C$44:$G$44,1/(1+$A78)^$C$47:$G$47)+$G$37*C$75/(1+$A78)^$G$46-$B$8+$B$9)/$B$7</f>
        <v>21.9495696692844</v>
      </c>
      <c r="D78" s="38" t="n">
        <f aca="false">(SUMPRODUCT($C$44:$G$44,1/(1+$A78)^$C$47:$G$47)+$G$37*D$75/(1+$A78)^$G$46-$B$8+$B$9)/$B$7</f>
        <v>24.1290883047887</v>
      </c>
      <c r="E78" s="37" t="n">
        <f aca="false">(SUMPRODUCT($C$44:$G$44,1/(1+$A78)^$C$47:$G$47)+$G$37*E$75/(1+$A78)^$G$46-$B$8+$B$9)/$B$7</f>
        <v>26.308606940293</v>
      </c>
      <c r="F78" s="37" t="n">
        <f aca="false">(SUMPRODUCT($C$44:$G$44,1/(1+$A78)^$C$47:$G$47)+$G$37*F$75/(1+$A78)^$G$46-$B$8+$B$9)/$B$7</f>
        <v>28.4881255757973</v>
      </c>
    </row>
    <row r="79" customFormat="false" ht="15" hidden="false" customHeight="false" outlineLevel="0" collapsed="false">
      <c r="A79" s="36" t="n">
        <f aca="false">$B$26+(0.005)</f>
        <v>0.0969913400736132</v>
      </c>
      <c r="B79" s="37" t="n">
        <f aca="false">(SUMPRODUCT($C$44:$G$44,1/(1+$A79)^$C$47:$G$47)+$G$37*B$75/(1+$A79)^$G$46-$B$8+$B$9)/$B$7</f>
        <v>19.3532116300515</v>
      </c>
      <c r="C79" s="37" t="n">
        <f aca="false">(SUMPRODUCT($C$44:$G$44,1/(1+$A79)^$C$47:$G$47)+$G$37*C$75/(1+$A79)^$G$46-$B$8+$B$9)/$B$7</f>
        <v>21.4835106236175</v>
      </c>
      <c r="D79" s="37" t="n">
        <f aca="false">(SUMPRODUCT($C$44:$G$44,1/(1+$A79)^$C$47:$G$47)+$G$37*D$75/(1+$A79)^$G$46-$B$8+$B$9)/$B$7</f>
        <v>23.6138096171834</v>
      </c>
      <c r="E79" s="37" t="n">
        <f aca="false">(SUMPRODUCT($C$44:$G$44,1/(1+$A79)^$C$47:$G$47)+$G$37*E$75/(1+$A79)^$G$46-$B$8+$B$9)/$B$7</f>
        <v>25.7441086107493</v>
      </c>
      <c r="F79" s="37" t="n">
        <f aca="false">(SUMPRODUCT($C$44:$G$44,1/(1+$A79)^$C$47:$G$47)+$G$37*F$75/(1+$A79)^$G$46-$B$8+$B$9)/$B$7</f>
        <v>27.8744076043153</v>
      </c>
    </row>
    <row r="80" customFormat="false" ht="15" hidden="false" customHeight="false" outlineLevel="0" collapsed="false">
      <c r="A80" s="36" t="n">
        <f aca="false">$B$26+(0.01)</f>
        <v>0.101991340073613</v>
      </c>
      <c r="B80" s="37" t="n">
        <f aca="false">(SUMPRODUCT($C$44:$G$44,1/(1+$A80)^$C$47:$G$47)+$G$37*B$75/(1+$A80)^$G$46-$B$8+$B$9)/$B$7</f>
        <v>18.9470659967433</v>
      </c>
      <c r="C80" s="37" t="n">
        <f aca="false">(SUMPRODUCT($C$44:$G$44,1/(1+$A80)^$C$47:$G$47)+$G$37*C$75/(1+$A80)^$G$46-$B$8+$B$9)/$B$7</f>
        <v>21.0294731632533</v>
      </c>
      <c r="D80" s="37" t="n">
        <f aca="false">(SUMPRODUCT($C$44:$G$44,1/(1+$A80)^$C$47:$G$47)+$G$37*D$75/(1+$A80)^$G$46-$B$8+$B$9)/$B$7</f>
        <v>23.1118803297632</v>
      </c>
      <c r="E80" s="37" t="n">
        <f aca="false">(SUMPRODUCT($C$44:$G$44,1/(1+$A80)^$C$47:$G$47)+$G$37*E$75/(1+$A80)^$G$46-$B$8+$B$9)/$B$7</f>
        <v>25.1942874962731</v>
      </c>
      <c r="F80" s="37" t="n">
        <f aca="false">(SUMPRODUCT($C$44:$G$44,1/(1+$A80)^$C$47:$G$47)+$G$37*F$75/(1+$A80)^$G$46-$B$8+$B$9)/$B$7</f>
        <v>27.2766946627831</v>
      </c>
    </row>
    <row r="81" customFormat="false" ht="15" hidden="false" customHeight="false" outlineLevel="0" collapsed="false">
      <c r="A81" s="2" t="s">
        <v>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2026-10-21T23:16:41Z</dcterms:created>
  <dc:creator>openpyxl</dc:creator>
  <dc:description/>
  <dc:language>en-US</dc:language>
  <cp:lastModifiedBy/>
  <dcterms:modified xsi:type="dcterms:W3CDTF">2026-10-21T23:16:41Z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