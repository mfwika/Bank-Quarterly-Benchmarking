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LB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<sst xmlns="http://schemas.openxmlformats.org/spreadsheetml/2006/main" count="116" uniqueCount="116">
  <si>
    <t xml:space="preserve">LBO Model</t>
  </si>
  <si>
    <t xml:space="preserve">IB Prep Studio practice template. Source: illustrative figures for a fictional company (ExampleCo). Replace with real filings (10-K / annual report).</t>
  </si>
  <si>
    <t xml:space="preserve">What this model does</t>
  </si>
  <si>
    <t xml:space="preserve">1. A 5-year leveraged buyout of ExampleCo: sources &amp; uses, operating projections, a debt schedule with mandatory amortization and a cash sweep, and sponsor returns (MOIC and IRR).</t>
  </si>
  <si>
    <t xml:space="preserve">2. Includes a returns attribution (EBITDA growth vs multiple expansion vs debt paydown) that ties to the equity gain, and an IRR sensitivity on entry vs exit multiples.</t>
  </si>
  <si>
    <t xml:space="preserve">3. Interest is charged on beginning-of-year balances, so there is no circularity.</t>
  </si>
  <si>
    <t xml:space="preserve">How to use it</t>
  </si>
  <si>
    <t xml:space="preserve">1. Go to the 'LBO' sheet. Change the yellow inputs: entry multiple, leverage, rates, operating drivers, exit multiple.</t>
  </si>
  <si>
    <t xml:space="preserve">2. Sources &amp; uses: sponsor equity is the plug that makes sources equal uses.</t>
  </si>
  <si>
    <t xml:space="preserve">3. Watch the term loan get swept down with excess cash, and net debt / EBITDA fall each year.</t>
  </si>
  <si>
    <t xml:space="preserve">4. Rebuild it on a blank sheet, then try a paper LBO with the same inputs and compare your mental-math IRR to the model's.</t>
  </si>
  <si>
    <t xml:space="preserve">Practice drills</t>
  </si>
  <si>
    <t xml:space="preserve">1. Raise leverage from 5.0x to 6.0x total. What happens to MOIC, IRR and year-1 interest coverage?</t>
  </si>
  <si>
    <t xml:space="preserve">2. Cut the exit multiple by 1.0x. How many IRR points do you lose?</t>
  </si>
  <si>
    <t xml:space="preserve">3. Set the cash sweep to 0%. Where does the excess cash go, and does the IRR change? (Hint: net debt.)</t>
  </si>
  <si>
    <t xml:space="preserve">4. Make the deal hit a 20% IRR by changing only the entry multiple.</t>
  </si>
  <si>
    <t xml:space="preserve">5. Look at the attribution: which driver creates most of the value in the base case?</t>
  </si>
  <si>
    <t xml:space="preserve">Colour legend</t>
  </si>
  <si>
    <t xml:space="preserve">1. Blue text = hard-coded input. Yellow fill = key assumption you are meant to change.</t>
  </si>
  <si>
    <t xml:space="preserve">2. Black text = formula. Never type over a black cell.</t>
  </si>
  <si>
    <t xml:space="preserve">3. Green text = link pulling a value from another sheet.</t>
  </si>
  <si>
    <t xml:space="preserve">4. Negative numbers show in (parentheses); zeros show as '-'.</t>
  </si>
  <si>
    <t xml:space="preserve">Input example</t>
  </si>
  <si>
    <t xml:space="preserve">Key assumption example</t>
  </si>
  <si>
    <t xml:space="preserve">Formula example</t>
  </si>
  <si>
    <t xml:space="preserve">Link example</t>
  </si>
  <si>
    <t xml:space="preserve">ExampleCo - Leveraged Buyout Analysis</t>
  </si>
  <si>
    <t xml:space="preserve">($ in millions)   Source: illustrative figures for a fictional company (ExampleCo). Replace with real filings (10-K / annual report).</t>
  </si>
  <si>
    <t xml:space="preserve">Legend: blue = input, yellow fill = key assumption to change, black = formula, green = link to another sheet.</t>
  </si>
  <si>
    <t xml:space="preserve">TRANSACTION INPUTS</t>
  </si>
  <si>
    <t xml:space="preserve">Sources &amp; uses</t>
  </si>
  <si>
    <t xml:space="preserve">$mm</t>
  </si>
  <si>
    <t xml:space="preserve">% / x EBITDA</t>
  </si>
  <si>
    <t xml:space="preserve">LTM revenue</t>
  </si>
  <si>
    <t xml:space="preserve">Uses</t>
  </si>
  <si>
    <t xml:space="preserve">LTM EBITDA</t>
  </si>
  <si>
    <t xml:space="preserve">Purchase enterprise value</t>
  </si>
  <si>
    <t xml:space="preserve">Entry EV / EBITDA</t>
  </si>
  <si>
    <t xml:space="preserve">Transaction fees</t>
  </si>
  <si>
    <t xml:space="preserve">Transaction fees (% of EV)</t>
  </si>
  <si>
    <t xml:space="preserve">Cash to balance sheet</t>
  </si>
  <si>
    <t xml:space="preserve">Cash to balance sheet at close</t>
  </si>
  <si>
    <t xml:space="preserve">Total uses</t>
  </si>
  <si>
    <t xml:space="preserve">Term loan B (x EBITDA)</t>
  </si>
  <si>
    <t xml:space="preserve">Term loan B interest rate</t>
  </si>
  <si>
    <t xml:space="preserve">Sources</t>
  </si>
  <si>
    <t xml:space="preserve">Term loan B amortization (% of original per year)</t>
  </si>
  <si>
    <t xml:space="preserve">Term loan B</t>
  </si>
  <si>
    <t xml:space="preserve">Cash sweep (% of excess cash used to prepay TLB)</t>
  </si>
  <si>
    <t xml:space="preserve">Senior notes</t>
  </si>
  <si>
    <t xml:space="preserve">Senior notes (x EBITDA)</t>
  </si>
  <si>
    <t xml:space="preserve">Sponsor equity (plug)</t>
  </si>
  <si>
    <t xml:space="preserve">Senior notes interest rate</t>
  </si>
  <si>
    <t xml:space="preserve">Total sources</t>
  </si>
  <si>
    <t xml:space="preserve">Tax rate</t>
  </si>
  <si>
    <t xml:space="preserve">Check: sources - uses</t>
  </si>
  <si>
    <t xml:space="preserve">Exit EV / EBITDA (end of year 5)</t>
  </si>
  <si>
    <t xml:space="preserve">OPERATING MODEL</t>
  </si>
  <si>
    <t xml:space="preserve">Close (LTM)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</si>
  <si>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</si>
  <si>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</si>
  <si>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</si>
  <si>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</si>
  <si>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</si>
  <si>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 growth</t>
  </si>
  <si>
    <t xml:space="preserve">EBITDA margin</t>
  </si>
  <si>
    <t xml:space="preserve">D&amp;A % of revenue</t>
  </si>
  <si>
    <t xml:space="preserve">Capex % of revenue</t>
  </si>
  <si>
    <t xml:space="preserve">Net working capital % of change in revenue</t>
  </si>
  <si>
    <t xml:space="preserve">Revenue</t>
  </si>
  <si>
    <t xml:space="preserve">EBITDA</t>
  </si>
  <si>
    <t xml:space="preserve">Less: D&amp;A</t>
  </si>
  <si>
    <t xml:space="preserve">EBIT</t>
  </si>
  <si>
    <t xml:space="preserve">Less: interest - term loan B</t>
  </si>
  <si>
    <t xml:space="preserve">Less: interest - senior notes</t>
  </si>
  <si>
    <t xml:space="preserve">Pre-tax income</t>
  </si>
  <si>
    <t xml:space="preserve">Less: taxes</t>
  </si>
  <si>
    <t xml:space="preserve">Net income</t>
  </si>
  <si>
    <t xml:space="preserve">Plus: D&amp;A</t>
  </si>
  <si>
    <t xml:space="preserve">Less: capex</t>
  </si>
  <si>
    <t xml:space="preserve">Less: increase in net working capital</t>
  </si>
  <si>
    <t xml:space="preserve">Free cash flow available for debt repayment</t>
  </si>
  <si>
    <t xml:space="preserve">DEBT SCHEDULE</t>
  </si>
  <si>
    <t xml:space="preserve">Term loan B - beginning</t>
  </si>
  <si>
    <t xml:space="preserve">Mandatory amortization</t>
  </si>
  <si>
    <t xml:space="preserve">Optional prepayment (cash sweep)</t>
  </si>
  <si>
    <t xml:space="preserve">Term loan B - ending</t>
  </si>
  <si>
    <t xml:space="preserve">Senior notes - beginning</t>
  </si>
  <si>
    <t xml:space="preserve">Senior notes - ending (bullet, repaid at exit)</t>
  </si>
  <si>
    <t xml:space="preserve">Cash - beginning</t>
  </si>
  <si>
    <t xml:space="preserve">Change in cash</t>
  </si>
  <si>
    <t xml:space="preserve">Cash - ending</t>
  </si>
  <si>
    <t xml:space="preserve">Total debt</t>
  </si>
  <si>
    <t xml:space="preserve">Net debt</t>
  </si>
  <si>
    <t xml:space="preserve">Net debt / EBITDA</t>
  </si>
  <si>
    <t xml:space="preserve">EBITDA / cash interest</t>
  </si>
  <si>
    <t xml:space="preserve">Note: cash earns no interest and there is no revolver; if FCF turns negative, cash goes negative.</t>
  </si>
  <si>
    <t xml:space="preserve">RETURNS</t>
  </si>
  <si>
    <t xml:space="preserve">Exit-year EBITDA</t>
  </si>
  <si>
    <t xml:space="preserve">Exit enterprise value</t>
  </si>
  <si>
    <t xml:space="preserve">Less: net debt at exit</t>
  </si>
  <si>
    <t xml:space="preserve">Exit equity value</t>
  </si>
  <si>
    <t xml:space="preserve">Sponsor equity invested</t>
  </si>
  <si>
    <t xml:space="preserve">MOIC</t>
  </si>
  <si>
    <t xml:space="preserve">IRR (MOIC ^ (1/5) - 1)</t>
  </si>
  <si>
    <t xml:space="preserve">IRR (Excel IRR on cash flows below)</t>
  </si>
  <si>
    <t xml:space="preserve">Sponsor cash flows (Close -&gt; Year 5)</t>
  </si>
  <si>
    <t xml:space="preserve">RETURNS ATTRIBUTION (where the equity gain comes from)</t>
  </si>
  <si>
    <t xml:space="preserve">EBITDA growth x entry multiple</t>
  </si>
  <si>
    <t xml:space="preserve">Multiple expansion x exit EBITDA</t>
  </si>
  <si>
    <t xml:space="preserve">Debt paydown &amp; cash build</t>
  </si>
  <si>
    <t xml:space="preserve">Less: transaction fees</t>
  </si>
  <si>
    <t xml:space="preserve">Total equity value created</t>
  </si>
  <si>
    <t xml:space="preserve">Check: equals exit equity - equity invested</t>
  </si>
  <si>
    <t xml:space="preserve">SENSITIVITY: IRR  (rows = entry EV/EBITDA, columns = exit EV/EBITDA)</t>
  </si>
  <si>
    <t xml:space="preserve">Leverage, interest and cash flows don't depend on the entry multiple, so only the equity cheque changes across rows.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</si>
</sst>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_);\(#,##0.0\);\-_)"/>
    <numFmt numFmtId="166" formatCode="0.0\x_);\(0.0&quot;x)&quot;;\-_)"/>
    <numFmt numFmtId="167" formatCode="0.0%_);\(0.0%\);\-_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A3122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A3122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3122A"/>
        <bgColor rgb="FF800000"/>
      </patternFill>
    </fill>
    <fill>
      <patternFill patternType="solid">
        <fgColor rgb="FFF2F2F2"/>
        <bgColor rgb="FFFCE4E8"/>
      </patternFill>
    </fill>
    <fill>
      <patternFill patternType="solid">
        <fgColor rgb="FFFCE4E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3122A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4" t="s">
        <v>3</v>
      </c>
    </row>
    <row r="6" customFormat="false" ht="23.8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6" customFormat="false" ht="15" hidden="false" customHeight="false" outlineLevel="0" collapsed="false">
      <c r="B26" s="4" t="s">
        <v>21</v>
      </c>
    </row>
    <row r="28" customFormat="false" ht="15" hidden="false" customHeight="false" outlineLevel="0" collapsed="false">
      <c r="B28" s="5" t="s">
        <v>22</v>
      </c>
    </row>
    <row r="29" customFormat="false" ht="15" hidden="false" customHeight="false" outlineLevel="0" collapsed="false">
      <c r="B29" s="6" t="s">
        <v>23</v>
      </c>
    </row>
    <row r="30" customFormat="false" ht="15" hidden="false" customHeight="false" outlineLevel="0" collapsed="false">
      <c r="B30" s="7" t="s">
        <v>24</v>
      </c>
    </row>
    <row r="31" customFormat="false" ht="15" hidden="false" customHeight="false" outlineLevel="0" collapsed="false">
      <c r="B31" s="8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3"/>
    <col collapsed="false" customWidth="true" hidden="false" outlineLevel="0" max="8" min="8" style="0" width="4"/>
    <col collapsed="false" customWidth="true" hidden="false" outlineLevel="0" max="9" min="9" style="0" width="28"/>
    <col collapsed="false" customWidth="true" hidden="false" outlineLevel="0" max="10" min="10" style="0" width="13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9" t="s">
        <v>29</v>
      </c>
      <c r="B5" s="9"/>
      <c r="I5" s="9" t="s">
        <v>30</v>
      </c>
      <c r="J5" s="9" t="s">
        <v>31</v>
      </c>
      <c r="K5" s="9" t="s">
        <v>32</v>
      </c>
    </row>
    <row r="6" customFormat="false" ht="15" hidden="false" customHeight="false" outlineLevel="0" collapsed="false">
      <c r="A6" s="0" t="s">
        <v>33</v>
      </c>
      <c r="B6" s="10" t="n">
        <v>1100</v>
      </c>
      <c r="I6" s="11" t="s">
        <v>34</v>
      </c>
    </row>
    <row r="7" customFormat="false" ht="15" hidden="false" customHeight="false" outlineLevel="0" collapsed="false">
      <c r="A7" s="0" t="s">
        <v>35</v>
      </c>
      <c r="B7" s="10" t="n">
        <v>230</v>
      </c>
      <c r="I7" s="12" t="s">
        <v>36</v>
      </c>
      <c r="J7" s="13" t="n">
        <f aca="false">B7*B8</f>
        <v>2070</v>
      </c>
      <c r="K7" s="14" t="n">
        <f aca="false">J7/$B$7</f>
        <v>9</v>
      </c>
    </row>
    <row r="8" customFormat="false" ht="15" hidden="false" customHeight="false" outlineLevel="0" collapsed="false">
      <c r="A8" s="0" t="s">
        <v>37</v>
      </c>
      <c r="B8" s="15" t="n">
        <v>9</v>
      </c>
      <c r="I8" s="12" t="s">
        <v>38</v>
      </c>
      <c r="J8" s="13" t="n">
        <f aca="false">J7*B9</f>
        <v>41.4</v>
      </c>
    </row>
    <row r="9" customFormat="false" ht="15" hidden="false" customHeight="false" outlineLevel="0" collapsed="false">
      <c r="A9" s="0" t="s">
        <v>39</v>
      </c>
      <c r="B9" s="16" t="n">
        <v>0.02</v>
      </c>
      <c r="I9" s="12" t="s">
        <v>40</v>
      </c>
      <c r="J9" s="13" t="n">
        <f aca="false">B10</f>
        <v>0</v>
      </c>
    </row>
    <row r="10" customFormat="false" ht="15" hidden="false" customHeight="false" outlineLevel="0" collapsed="false">
      <c r="A10" s="0" t="s">
        <v>41</v>
      </c>
      <c r="B10" s="17" t="n">
        <v>0</v>
      </c>
      <c r="I10" s="11" t="s">
        <v>42</v>
      </c>
      <c r="J10" s="18" t="n">
        <f aca="false">SUM(J7:J9)</f>
        <v>2111.4</v>
      </c>
    </row>
    <row r="11" customFormat="false" ht="15" hidden="false" customHeight="false" outlineLevel="0" collapsed="false">
      <c r="A11" s="0" t="s">
        <v>43</v>
      </c>
      <c r="B11" s="15" t="n">
        <v>3</v>
      </c>
    </row>
    <row r="12" customFormat="false" ht="15" hidden="false" customHeight="false" outlineLevel="0" collapsed="false">
      <c r="A12" s="0" t="s">
        <v>44</v>
      </c>
      <c r="B12" s="16" t="n">
        <v>0.08</v>
      </c>
      <c r="I12" s="11" t="s">
        <v>45</v>
      </c>
    </row>
    <row r="13" customFormat="false" ht="15" hidden="false" customHeight="false" outlineLevel="0" collapsed="false">
      <c r="A13" s="0" t="s">
        <v>46</v>
      </c>
      <c r="B13" s="16" t="n">
        <v>0.01</v>
      </c>
      <c r="I13" s="12" t="s">
        <v>47</v>
      </c>
      <c r="J13" s="13" t="n">
        <f aca="false">B7*B11</f>
        <v>690</v>
      </c>
      <c r="K13" s="19" t="n">
        <f aca="false">J13/$J$16</f>
        <v>0.326797385620915</v>
      </c>
    </row>
    <row r="14" customFormat="false" ht="15" hidden="false" customHeight="false" outlineLevel="0" collapsed="false">
      <c r="A14" s="0" t="s">
        <v>48</v>
      </c>
      <c r="B14" s="16" t="n">
        <v>1</v>
      </c>
      <c r="I14" s="12" t="s">
        <v>49</v>
      </c>
      <c r="J14" s="13" t="n">
        <f aca="false">B7*B15</f>
        <v>460</v>
      </c>
      <c r="K14" s="19" t="n">
        <f aca="false">J14/$J$16</f>
        <v>0.217864923747277</v>
      </c>
    </row>
    <row r="15" customFormat="false" ht="15" hidden="false" customHeight="false" outlineLevel="0" collapsed="false">
      <c r="A15" s="0" t="s">
        <v>50</v>
      </c>
      <c r="B15" s="15" t="n">
        <v>2</v>
      </c>
      <c r="I15" s="12" t="s">
        <v>51</v>
      </c>
      <c r="J15" s="18" t="n">
        <f aca="false">J10-J13-J14</f>
        <v>961.4</v>
      </c>
      <c r="K15" s="19" t="n">
        <f aca="false">J15/$J$16</f>
        <v>0.455337690631808</v>
      </c>
    </row>
    <row r="16" customFormat="false" ht="15" hidden="false" customHeight="false" outlineLevel="0" collapsed="false">
      <c r="A16" s="0" t="s">
        <v>52</v>
      </c>
      <c r="B16" s="16" t="n">
        <v>0.095</v>
      </c>
      <c r="I16" s="11" t="s">
        <v>53</v>
      </c>
      <c r="J16" s="18" t="n">
        <f aca="false">SUM(J13:J15)</f>
        <v>2111.4</v>
      </c>
      <c r="K16" s="19" t="n">
        <f aca="false">J16/$J$16</f>
        <v>1</v>
      </c>
    </row>
    <row r="17" customFormat="false" ht="15" hidden="false" customHeight="false" outlineLevel="0" collapsed="false">
      <c r="A17" s="0" t="s">
        <v>54</v>
      </c>
      <c r="B17" s="16" t="n">
        <v>0.25</v>
      </c>
      <c r="I17" s="12" t="s">
        <v>55</v>
      </c>
      <c r="J17" s="20" t="str">
        <f aca="false">IF(ABS(J16-J10)&lt;0.001,"OK","ERROR")</f>
        <v>OK</v>
      </c>
    </row>
    <row r="18" customFormat="false" ht="15" hidden="false" customHeight="false" outlineLevel="0" collapsed="false">
      <c r="A18" s="0" t="s">
        <v>56</v>
      </c>
      <c r="B18" s="15" t="n">
        <v>9</v>
      </c>
    </row>
    <row r="20" customFormat="false" ht="15" hidden="false" customHeight="false" outlineLevel="0" collapsed="false">
      <c r="A20" s="9" t="s">
        <v>57</v>
      </c>
      <c r="B20" s="9"/>
      <c r="C20" s="9"/>
      <c r="D20" s="9"/>
      <c r="E20" s="9"/>
      <c r="F20" s="9"/>
      <c r="G20" s="9"/>
    </row>
    <row r="21" customFormat="false" ht="15" hidden="false" customHeight="false" outlineLevel="0" collapsed="false">
      <c r="B21" s="21" t="s">
        <v>58</v>
      </c>
      <c r="C21" s="21" t="s">
        <v>59</v>
      </c>
      <c r="D21" s="21" t="s">
        <v>60</v>
      </c>
      <c r="E21" s="21" t="s">
        <v>61</v>
      </c>
      <c r="F21" s="21" t="s">
        <v>62</v>
      </c>
      <c r="G21" s="21" t="s">
        <v>63</v>
      </c>
    </row>
    <row r="22" customFormat="false" ht="15" hidden="false" customHeight="false" outlineLevel="0" collapsed="false">
      <c r="A22" s="0" t="s">
        <v>64</v>
      </c>
      <c r="C22" s="16" t="n">
        <v>0.07</v>
      </c>
      <c r="D22" s="16" t="n">
        <v>0.07</v>
      </c>
      <c r="E22" s="16" t="n">
        <v>0.06</v>
      </c>
      <c r="F22" s="16" t="n">
        <v>0.06</v>
      </c>
      <c r="G22" s="16" t="n">
        <v>0.05</v>
      </c>
    </row>
    <row r="23" customFormat="false" ht="15" hidden="false" customHeight="false" outlineLevel="0" collapsed="false">
      <c r="A23" s="0" t="s">
        <v>65</v>
      </c>
      <c r="C23" s="16" t="n">
        <v>0.21</v>
      </c>
      <c r="D23" s="16" t="n">
        <v>0.215</v>
      </c>
      <c r="E23" s="16" t="n">
        <v>0.22</v>
      </c>
      <c r="F23" s="16" t="n">
        <v>0.225</v>
      </c>
      <c r="G23" s="16" t="n">
        <v>0.23</v>
      </c>
    </row>
    <row r="24" customFormat="false" ht="15" hidden="false" customHeight="false" outlineLevel="0" collapsed="false">
      <c r="A24" s="0" t="s">
        <v>66</v>
      </c>
      <c r="C24" s="16" t="n">
        <v>0.04</v>
      </c>
      <c r="D24" s="16" t="n">
        <v>0.04</v>
      </c>
      <c r="E24" s="16" t="n">
        <v>0.04</v>
      </c>
      <c r="F24" s="16" t="n">
        <v>0.04</v>
      </c>
      <c r="G24" s="16" t="n">
        <v>0.04</v>
      </c>
    </row>
    <row r="25" customFormat="false" ht="15" hidden="false" customHeight="false" outlineLevel="0" collapsed="false">
      <c r="A25" s="0" t="s">
        <v>67</v>
      </c>
      <c r="C25" s="16" t="n">
        <v>0.045</v>
      </c>
      <c r="D25" s="16" t="n">
        <v>0.045</v>
      </c>
      <c r="E25" s="16" t="n">
        <v>0.045</v>
      </c>
      <c r="F25" s="16" t="n">
        <v>0.045</v>
      </c>
      <c r="G25" s="16" t="n">
        <v>0.045</v>
      </c>
    </row>
    <row r="26" customFormat="false" ht="15" hidden="false" customHeight="false" outlineLevel="0" collapsed="false">
      <c r="A26" s="0" t="s">
        <v>68</v>
      </c>
      <c r="C26" s="16" t="n">
        <v>0.15</v>
      </c>
      <c r="D26" s="16" t="n">
        <v>0.15</v>
      </c>
      <c r="E26" s="16" t="n">
        <v>0.15</v>
      </c>
      <c r="F26" s="16" t="n">
        <v>0.15</v>
      </c>
      <c r="G26" s="16" t="n">
        <v>0.15</v>
      </c>
    </row>
    <row r="28" customFormat="false" ht="15" hidden="false" customHeight="false" outlineLevel="0" collapsed="false">
      <c r="A28" s="0" t="s">
        <v>69</v>
      </c>
      <c r="B28" s="13" t="n">
        <f aca="false">B6</f>
        <v>1100</v>
      </c>
      <c r="C28" s="18" t="n">
        <f aca="false">B28*(1+C22)</f>
        <v>1177</v>
      </c>
      <c r="D28" s="18" t="n">
        <f aca="false">C28*(1+D22)</f>
        <v>1259.39</v>
      </c>
      <c r="E28" s="18" t="n">
        <f aca="false">D28*(1+E22)</f>
        <v>1334.9534</v>
      </c>
      <c r="F28" s="18" t="n">
        <f aca="false">E28*(1+F22)</f>
        <v>1415.050604</v>
      </c>
      <c r="G28" s="18" t="n">
        <f aca="false">F28*(1+G22)</f>
        <v>1485.8031342</v>
      </c>
    </row>
    <row r="29" customFormat="false" ht="15" hidden="false" customHeight="false" outlineLevel="0" collapsed="false">
      <c r="A29" s="0" t="s">
        <v>70</v>
      </c>
      <c r="B29" s="13" t="n">
        <f aca="false">B7</f>
        <v>230</v>
      </c>
      <c r="C29" s="18" t="n">
        <f aca="false">C28*C23</f>
        <v>247.17</v>
      </c>
      <c r="D29" s="18" t="n">
        <f aca="false">D28*D23</f>
        <v>270.76885</v>
      </c>
      <c r="E29" s="18" t="n">
        <f aca="false">E28*E23</f>
        <v>293.689748</v>
      </c>
      <c r="F29" s="18" t="n">
        <f aca="false">F28*F23</f>
        <v>318.3863859</v>
      </c>
      <c r="G29" s="18" t="n">
        <f aca="false">G28*G23</f>
        <v>341.734720866</v>
      </c>
    </row>
    <row r="30" customFormat="false" ht="15" hidden="false" customHeight="false" outlineLevel="0" collapsed="false">
      <c r="A30" s="0" t="s">
        <v>71</v>
      </c>
      <c r="C30" s="13" t="n">
        <f aca="false">C28*C24</f>
        <v>47.08</v>
      </c>
      <c r="D30" s="13" t="n">
        <f aca="false">D28*D24</f>
        <v>50.3756</v>
      </c>
      <c r="E30" s="13" t="n">
        <f aca="false">E28*E24</f>
        <v>53.398136</v>
      </c>
      <c r="F30" s="13" t="n">
        <f aca="false">F28*F24</f>
        <v>56.60202416</v>
      </c>
      <c r="G30" s="13" t="n">
        <f aca="false">G28*G24</f>
        <v>59.432125368</v>
      </c>
    </row>
    <row r="31" customFormat="false" ht="15" hidden="false" customHeight="false" outlineLevel="0" collapsed="false">
      <c r="A31" s="0" t="s">
        <v>72</v>
      </c>
      <c r="C31" s="22" t="n">
        <f aca="false">C29-C30</f>
        <v>200.09</v>
      </c>
      <c r="D31" s="22" t="n">
        <f aca="false">D29-D30</f>
        <v>220.39325</v>
      </c>
      <c r="E31" s="22" t="n">
        <f aca="false">E29-E30</f>
        <v>240.291612</v>
      </c>
      <c r="F31" s="22" t="n">
        <f aca="false">F29-F30</f>
        <v>261.78436174</v>
      </c>
      <c r="G31" s="22" t="n">
        <f aca="false">G29-G30</f>
        <v>282.302595498</v>
      </c>
    </row>
    <row r="32" customFormat="false" ht="15" hidden="false" customHeight="false" outlineLevel="0" collapsed="false">
      <c r="A32" s="0" t="s">
        <v>73</v>
      </c>
      <c r="C32" s="13" t="n">
        <f aca="false">C45*$B$12</f>
        <v>55.2</v>
      </c>
      <c r="D32" s="13" t="n">
        <f aca="false">D45*$B$12</f>
        <v>50.5234</v>
      </c>
      <c r="E32" s="13" t="n">
        <f aca="false">E45*$B$12</f>
        <v>44.445645</v>
      </c>
      <c r="F32" s="13" t="n">
        <f aca="false">F45*$B$12</f>
        <v>36.75762914</v>
      </c>
      <c r="G32" s="13" t="n">
        <f aca="false">G45*$B$12</f>
        <v>27.4052118736</v>
      </c>
    </row>
    <row r="33" customFormat="false" ht="15" hidden="false" customHeight="false" outlineLevel="0" collapsed="false">
      <c r="A33" s="0" t="s">
        <v>74</v>
      </c>
      <c r="C33" s="13" t="n">
        <f aca="false">C50*$B$16</f>
        <v>43.7</v>
      </c>
      <c r="D33" s="13" t="n">
        <f aca="false">D50*$B$16</f>
        <v>43.7</v>
      </c>
      <c r="E33" s="13" t="n">
        <f aca="false">E50*$B$16</f>
        <v>43.7</v>
      </c>
      <c r="F33" s="13" t="n">
        <f aca="false">F50*$B$16</f>
        <v>43.7</v>
      </c>
      <c r="G33" s="13" t="n">
        <f aca="false">G50*$B$16</f>
        <v>43.7</v>
      </c>
    </row>
    <row r="34" customFormat="false" ht="15" hidden="false" customHeight="false" outlineLevel="0" collapsed="false">
      <c r="A34" s="0" t="s">
        <v>75</v>
      </c>
      <c r="C34" s="22" t="n">
        <f aca="false">C31-C32-C33</f>
        <v>101.19</v>
      </c>
      <c r="D34" s="22" t="n">
        <f aca="false">D31-D32-D33</f>
        <v>126.16985</v>
      </c>
      <c r="E34" s="22" t="n">
        <f aca="false">E31-E32-E33</f>
        <v>152.145967</v>
      </c>
      <c r="F34" s="22" t="n">
        <f aca="false">F31-F32-F33</f>
        <v>181.3267326</v>
      </c>
      <c r="G34" s="22" t="n">
        <f aca="false">G31-G32-G33</f>
        <v>211.1973836244</v>
      </c>
    </row>
    <row r="35" customFormat="false" ht="15" hidden="false" customHeight="false" outlineLevel="0" collapsed="false">
      <c r="A35" s="0" t="s">
        <v>76</v>
      </c>
      <c r="C35" s="13" t="n">
        <f aca="false">MAX(0,C34)*$B$17</f>
        <v>25.2975</v>
      </c>
      <c r="D35" s="13" t="n">
        <f aca="false">MAX(0,D34)*$B$17</f>
        <v>31.5424625</v>
      </c>
      <c r="E35" s="13" t="n">
        <f aca="false">MAX(0,E34)*$B$17</f>
        <v>38.03649175</v>
      </c>
      <c r="F35" s="13" t="n">
        <f aca="false">MAX(0,F34)*$B$17</f>
        <v>45.33168315</v>
      </c>
      <c r="G35" s="13" t="n">
        <f aca="false">MAX(0,G34)*$B$17</f>
        <v>52.7993459061</v>
      </c>
    </row>
    <row r="36" customFormat="false" ht="15" hidden="false" customHeight="false" outlineLevel="0" collapsed="false">
      <c r="A36" s="0" t="s">
        <v>77</v>
      </c>
      <c r="C36" s="23" t="n">
        <f aca="false">C34-C35</f>
        <v>75.8925</v>
      </c>
      <c r="D36" s="23" t="n">
        <f aca="false">D34-D35</f>
        <v>94.6273875</v>
      </c>
      <c r="E36" s="23" t="n">
        <f aca="false">E34-E35</f>
        <v>114.10947525</v>
      </c>
      <c r="F36" s="23" t="n">
        <f aca="false">F34-F35</f>
        <v>135.99504945</v>
      </c>
      <c r="G36" s="23" t="n">
        <f aca="false">G34-G35</f>
        <v>158.3980377183</v>
      </c>
    </row>
    <row r="38" customFormat="false" ht="15" hidden="false" customHeight="false" outlineLevel="0" collapsed="false">
      <c r="A38" s="0" t="s">
        <v>78</v>
      </c>
      <c r="C38" s="13" t="n">
        <f aca="false">C30</f>
        <v>47.08</v>
      </c>
      <c r="D38" s="13" t="n">
        <f aca="false">D30</f>
        <v>50.3756</v>
      </c>
      <c r="E38" s="13" t="n">
        <f aca="false">E30</f>
        <v>53.398136</v>
      </c>
      <c r="F38" s="13" t="n">
        <f aca="false">F30</f>
        <v>56.60202416</v>
      </c>
      <c r="G38" s="13" t="n">
        <f aca="false">G30</f>
        <v>59.432125368</v>
      </c>
    </row>
    <row r="39" customFormat="false" ht="15" hidden="false" customHeight="false" outlineLevel="0" collapsed="false">
      <c r="A39" s="0" t="s">
        <v>79</v>
      </c>
      <c r="C39" s="13" t="n">
        <f aca="false">C28*C25</f>
        <v>52.965</v>
      </c>
      <c r="D39" s="13" t="n">
        <f aca="false">D28*D25</f>
        <v>56.67255</v>
      </c>
      <c r="E39" s="13" t="n">
        <f aca="false">E28*E25</f>
        <v>60.072903</v>
      </c>
      <c r="F39" s="13" t="n">
        <f aca="false">F28*F25</f>
        <v>63.67727718</v>
      </c>
      <c r="G39" s="13" t="n">
        <f aca="false">G28*G25</f>
        <v>66.861141039</v>
      </c>
    </row>
    <row r="40" customFormat="false" ht="15" hidden="false" customHeight="false" outlineLevel="0" collapsed="false">
      <c r="A40" s="0" t="s">
        <v>80</v>
      </c>
      <c r="C40" s="13" t="n">
        <f aca="false">(C28-B28)*C26</f>
        <v>11.55</v>
      </c>
      <c r="D40" s="13" t="n">
        <f aca="false">(D28-C28)*D26</f>
        <v>12.3585</v>
      </c>
      <c r="E40" s="13" t="n">
        <f aca="false">(E28-D28)*E26</f>
        <v>11.33451</v>
      </c>
      <c r="F40" s="13" t="n">
        <f aca="false">(F28-E28)*F26</f>
        <v>12.0145806</v>
      </c>
      <c r="G40" s="13" t="n">
        <f aca="false">(G28-F28)*G26</f>
        <v>10.61287953</v>
      </c>
    </row>
    <row r="41" customFormat="false" ht="15" hidden="false" customHeight="false" outlineLevel="0" collapsed="false">
      <c r="A41" s="11" t="s">
        <v>81</v>
      </c>
      <c r="C41" s="23" t="n">
        <f aca="false">C36+C38-C39-C40</f>
        <v>58.4575</v>
      </c>
      <c r="D41" s="23" t="n">
        <f aca="false">D36+D38-D39-D40</f>
        <v>75.9719375</v>
      </c>
      <c r="E41" s="23" t="n">
        <f aca="false">E36+E38-E39-E40</f>
        <v>96.10019825</v>
      </c>
      <c r="F41" s="23" t="n">
        <f aca="false">F36+F38-F39-F40</f>
        <v>116.90521583</v>
      </c>
      <c r="G41" s="23" t="n">
        <f aca="false">G36+G38-G39-G40</f>
        <v>140.3561425173</v>
      </c>
    </row>
    <row r="43" customFormat="false" ht="15" hidden="false" customHeight="false" outlineLevel="0" collapsed="false">
      <c r="A43" s="9" t="s">
        <v>82</v>
      </c>
      <c r="B43" s="9"/>
      <c r="C43" s="9"/>
      <c r="D43" s="9"/>
      <c r="E43" s="9"/>
      <c r="F43" s="9"/>
      <c r="G43" s="9"/>
    </row>
    <row r="45" customFormat="false" ht="15" hidden="false" customHeight="false" outlineLevel="0" collapsed="false">
      <c r="A45" s="0" t="s">
        <v>83</v>
      </c>
      <c r="C45" s="13" t="n">
        <f aca="false">B48</f>
        <v>690</v>
      </c>
      <c r="D45" s="13" t="n">
        <f aca="false">C48</f>
        <v>631.5425</v>
      </c>
      <c r="E45" s="13" t="n">
        <f aca="false">D48</f>
        <v>555.5705625</v>
      </c>
      <c r="F45" s="13" t="n">
        <f aca="false">E48</f>
        <v>459.47036425</v>
      </c>
      <c r="G45" s="13" t="n">
        <f aca="false">F48</f>
        <v>342.56514842</v>
      </c>
    </row>
    <row r="46" customFormat="false" ht="15" hidden="false" customHeight="false" outlineLevel="0" collapsed="false">
      <c r="A46" s="0" t="s">
        <v>84</v>
      </c>
      <c r="C46" s="13" t="n">
        <f aca="false">-MIN(C45,$J$13*$B$13)</f>
        <v>-6.9</v>
      </c>
      <c r="D46" s="13" t="n">
        <f aca="false">-MIN(D45,$J$13*$B$13)</f>
        <v>-6.9</v>
      </c>
      <c r="E46" s="13" t="n">
        <f aca="false">-MIN(E45,$J$13*$B$13)</f>
        <v>-6.9</v>
      </c>
      <c r="F46" s="13" t="n">
        <f aca="false">-MIN(F45,$J$13*$B$13)</f>
        <v>-6.9</v>
      </c>
      <c r="G46" s="13" t="n">
        <f aca="false">-MIN(G45,$J$13*$B$13)</f>
        <v>-6.9</v>
      </c>
    </row>
    <row r="47" customFormat="false" ht="15" hidden="false" customHeight="false" outlineLevel="0" collapsed="false">
      <c r="A47" s="0" t="s">
        <v>85</v>
      </c>
      <c r="C47" s="13" t="n">
        <f aca="false">-MIN(C45+C46,MAX(0,C53+C41+C46)*$B$14)</f>
        <v>-51.5575</v>
      </c>
      <c r="D47" s="13" t="n">
        <f aca="false">-MIN(D45+D46,MAX(0,D53+D41+D46)*$B$14)</f>
        <v>-69.0719375</v>
      </c>
      <c r="E47" s="13" t="n">
        <f aca="false">-MIN(E45+E46,MAX(0,E53+E41+E46)*$B$14)</f>
        <v>-89.20019825</v>
      </c>
      <c r="F47" s="13" t="n">
        <f aca="false">-MIN(F45+F46,MAX(0,F53+F41+F46)*$B$14)</f>
        <v>-110.00521583</v>
      </c>
      <c r="G47" s="13" t="n">
        <f aca="false">-MIN(G45+G46,MAX(0,G53+G41+G46)*$B$14)</f>
        <v>-133.4561425173</v>
      </c>
    </row>
    <row r="48" customFormat="false" ht="15" hidden="false" customHeight="false" outlineLevel="0" collapsed="false">
      <c r="A48" s="0" t="s">
        <v>86</v>
      </c>
      <c r="B48" s="13" t="n">
        <f aca="false">J13</f>
        <v>690</v>
      </c>
      <c r="C48" s="23" t="n">
        <f aca="false">SUM(C45:C47)</f>
        <v>631.5425</v>
      </c>
      <c r="D48" s="23" t="n">
        <f aca="false">SUM(D45:D47)</f>
        <v>555.5705625</v>
      </c>
      <c r="E48" s="23" t="n">
        <f aca="false">SUM(E45:E47)</f>
        <v>459.47036425</v>
      </c>
      <c r="F48" s="23" t="n">
        <f aca="false">SUM(F45:F47)</f>
        <v>342.56514842</v>
      </c>
      <c r="G48" s="23" t="n">
        <f aca="false">SUM(G45:G47)</f>
        <v>202.2090059027</v>
      </c>
    </row>
    <row r="50" customFormat="false" ht="15" hidden="false" customHeight="false" outlineLevel="0" collapsed="false">
      <c r="A50" s="0" t="s">
        <v>87</v>
      </c>
      <c r="C50" s="13" t="n">
        <f aca="false">B51</f>
        <v>460</v>
      </c>
      <c r="D50" s="13" t="n">
        <f aca="false">C51</f>
        <v>460</v>
      </c>
      <c r="E50" s="13" t="n">
        <f aca="false">D51</f>
        <v>460</v>
      </c>
      <c r="F50" s="13" t="n">
        <f aca="false">E51</f>
        <v>460</v>
      </c>
      <c r="G50" s="13" t="n">
        <f aca="false">F51</f>
        <v>460</v>
      </c>
    </row>
    <row r="51" customFormat="false" ht="15" hidden="false" customHeight="false" outlineLevel="0" collapsed="false">
      <c r="A51" s="0" t="s">
        <v>88</v>
      </c>
      <c r="B51" s="13" t="n">
        <f aca="false">J14</f>
        <v>460</v>
      </c>
      <c r="C51" s="18" t="n">
        <f aca="false">C50</f>
        <v>460</v>
      </c>
      <c r="D51" s="18" t="n">
        <f aca="false">D50</f>
        <v>460</v>
      </c>
      <c r="E51" s="18" t="n">
        <f aca="false">E50</f>
        <v>460</v>
      </c>
      <c r="F51" s="18" t="n">
        <f aca="false">F50</f>
        <v>460</v>
      </c>
      <c r="G51" s="18" t="n">
        <f aca="false">G50</f>
        <v>460</v>
      </c>
    </row>
    <row r="53" customFormat="false" ht="15" hidden="false" customHeight="false" outlineLevel="0" collapsed="false">
      <c r="A53" s="0" t="s">
        <v>89</v>
      </c>
      <c r="C53" s="13" t="n">
        <f aca="false">B55</f>
        <v>0</v>
      </c>
      <c r="D53" s="13" t="n">
        <f aca="false">C55</f>
        <v>0</v>
      </c>
      <c r="E53" s="13" t="n">
        <f aca="false">D55</f>
        <v>0</v>
      </c>
      <c r="F53" s="13" t="n">
        <f aca="false">E55</f>
        <v>0</v>
      </c>
      <c r="G53" s="13" t="n">
        <f aca="false">F55</f>
        <v>0</v>
      </c>
    </row>
    <row r="54" customFormat="false" ht="15" hidden="false" customHeight="false" outlineLevel="0" collapsed="false">
      <c r="A54" s="0" t="s">
        <v>90</v>
      </c>
      <c r="C54" s="13" t="n">
        <f aca="false">C41+C46+C47</f>
        <v>0</v>
      </c>
      <c r="D54" s="13" t="n">
        <f aca="false">D41+D46+D47</f>
        <v>0</v>
      </c>
      <c r="E54" s="13" t="n">
        <f aca="false">E41+E46+E47</f>
        <v>0</v>
      </c>
      <c r="F54" s="13" t="n">
        <f aca="false">F41+F46+F47</f>
        <v>0</v>
      </c>
      <c r="G54" s="13" t="n">
        <f aca="false">G41+G46+G47</f>
        <v>0</v>
      </c>
    </row>
    <row r="55" customFormat="false" ht="15" hidden="false" customHeight="false" outlineLevel="0" collapsed="false">
      <c r="A55" s="0" t="s">
        <v>91</v>
      </c>
      <c r="B55" s="13" t="n">
        <f aca="false">J9</f>
        <v>0</v>
      </c>
      <c r="C55" s="23" t="n">
        <f aca="false">C53+C54</f>
        <v>0</v>
      </c>
      <c r="D55" s="23" t="n">
        <f aca="false">D53+D54</f>
        <v>0</v>
      </c>
      <c r="E55" s="23" t="n">
        <f aca="false">E53+E54</f>
        <v>0</v>
      </c>
      <c r="F55" s="23" t="n">
        <f aca="false">F53+F54</f>
        <v>0</v>
      </c>
      <c r="G55" s="23" t="n">
        <f aca="false">G53+G54</f>
        <v>0</v>
      </c>
    </row>
    <row r="57" customFormat="false" ht="15" hidden="false" customHeight="false" outlineLevel="0" collapsed="false">
      <c r="A57" s="0" t="s">
        <v>92</v>
      </c>
      <c r="B57" s="13" t="n">
        <f aca="false">B48+B51</f>
        <v>1150</v>
      </c>
      <c r="C57" s="13" t="n">
        <f aca="false">C48+C51</f>
        <v>1091.5425</v>
      </c>
      <c r="D57" s="13" t="n">
        <f aca="false">D48+D51</f>
        <v>1015.5705625</v>
      </c>
      <c r="E57" s="13" t="n">
        <f aca="false">E48+E51</f>
        <v>919.47036425</v>
      </c>
      <c r="F57" s="13" t="n">
        <f aca="false">F48+F51</f>
        <v>802.56514842</v>
      </c>
      <c r="G57" s="13" t="n">
        <f aca="false">G48+G51</f>
        <v>662.2090059027</v>
      </c>
    </row>
    <row r="58" customFormat="false" ht="15" hidden="false" customHeight="false" outlineLevel="0" collapsed="false">
      <c r="A58" s="0" t="s">
        <v>93</v>
      </c>
      <c r="B58" s="13" t="n">
        <f aca="false">B57-B55</f>
        <v>1150</v>
      </c>
      <c r="C58" s="13" t="n">
        <f aca="false">C57-C55</f>
        <v>1091.5425</v>
      </c>
      <c r="D58" s="13" t="n">
        <f aca="false">D57-D55</f>
        <v>1015.5705625</v>
      </c>
      <c r="E58" s="13" t="n">
        <f aca="false">E57-E55</f>
        <v>919.47036425</v>
      </c>
      <c r="F58" s="13" t="n">
        <f aca="false">F57-F55</f>
        <v>802.56514842</v>
      </c>
      <c r="G58" s="13" t="n">
        <f aca="false">G57-G55</f>
        <v>662.2090059027</v>
      </c>
    </row>
    <row r="59" customFormat="false" ht="15" hidden="false" customHeight="false" outlineLevel="0" collapsed="false">
      <c r="A59" s="0" t="s">
        <v>94</v>
      </c>
      <c r="B59" s="14" t="n">
        <f aca="false">B58/B29</f>
        <v>5</v>
      </c>
      <c r="C59" s="14" t="n">
        <f aca="false">C58/C29</f>
        <v>4.41616094186188</v>
      </c>
      <c r="D59" s="14" t="n">
        <f aca="false">D58/D29</f>
        <v>3.75069201091632</v>
      </c>
      <c r="E59" s="14" t="n">
        <f aca="false">E58/E29</f>
        <v>3.13075403725022</v>
      </c>
      <c r="F59" s="14" t="n">
        <f aca="false">F58/F29</f>
        <v>2.5207269656061</v>
      </c>
      <c r="G59" s="14" t="n">
        <f aca="false">G58/G29</f>
        <v>1.9377867259861</v>
      </c>
    </row>
    <row r="60" customFormat="false" ht="15" hidden="false" customHeight="false" outlineLevel="0" collapsed="false">
      <c r="A60" s="0" t="s">
        <v>95</v>
      </c>
      <c r="C60" s="14" t="n">
        <f aca="false">C29/(C32+C33)</f>
        <v>2.49919110212336</v>
      </c>
      <c r="D60" s="14" t="n">
        <f aca="false">D29/(D32+D33)</f>
        <v>2.87369008123248</v>
      </c>
      <c r="E60" s="14" t="n">
        <f aca="false">E29/(E32+E33)</f>
        <v>3.33186906738274</v>
      </c>
      <c r="F60" s="14" t="n">
        <f aca="false">F29/(F32+F33)</f>
        <v>3.95719323702657</v>
      </c>
      <c r="G60" s="14" t="n">
        <f aca="false">G29/(G32+G33)</f>
        <v>4.80604321204308</v>
      </c>
    </row>
    <row r="61" customFormat="false" ht="15" hidden="false" customHeight="false" outlineLevel="0" collapsed="false">
      <c r="A61" s="2" t="s">
        <v>96</v>
      </c>
    </row>
    <row r="63" customFormat="false" ht="15" hidden="false" customHeight="false" outlineLevel="0" collapsed="false">
      <c r="A63" s="9" t="s">
        <v>97</v>
      </c>
      <c r="B63" s="9"/>
    </row>
    <row r="64" customFormat="false" ht="15" hidden="false" customHeight="false" outlineLevel="0" collapsed="false">
      <c r="A64" s="0" t="s">
        <v>98</v>
      </c>
      <c r="B64" s="13" t="n">
        <f aca="false">G29</f>
        <v>341.734720866</v>
      </c>
    </row>
    <row r="65" customFormat="false" ht="15" hidden="false" customHeight="false" outlineLevel="0" collapsed="false">
      <c r="A65" s="0" t="s">
        <v>99</v>
      </c>
      <c r="B65" s="13" t="n">
        <f aca="false">B64*B18</f>
        <v>3075.612487794</v>
      </c>
    </row>
    <row r="66" customFormat="false" ht="15" hidden="false" customHeight="false" outlineLevel="0" collapsed="false">
      <c r="A66" s="0" t="s">
        <v>100</v>
      </c>
      <c r="B66" s="13" t="n">
        <f aca="false">-G58</f>
        <v>-662.2090059027</v>
      </c>
    </row>
    <row r="67" customFormat="false" ht="15" hidden="false" customHeight="false" outlineLevel="0" collapsed="false">
      <c r="A67" s="0" t="s">
        <v>101</v>
      </c>
      <c r="B67" s="18" t="n">
        <f aca="false">B65+B66</f>
        <v>2413.4034818913</v>
      </c>
    </row>
    <row r="68" customFormat="false" ht="15" hidden="false" customHeight="false" outlineLevel="0" collapsed="false">
      <c r="A68" s="0" t="s">
        <v>102</v>
      </c>
      <c r="B68" s="13" t="n">
        <f aca="false">J15</f>
        <v>961.4</v>
      </c>
    </row>
    <row r="69" customFormat="false" ht="15" hidden="false" customHeight="false" outlineLevel="0" collapsed="false">
      <c r="A69" s="0" t="s">
        <v>103</v>
      </c>
      <c r="B69" s="24" t="n">
        <f aca="false">B67/B68</f>
        <v>2.510301104526</v>
      </c>
    </row>
    <row r="70" customFormat="false" ht="15" hidden="false" customHeight="false" outlineLevel="0" collapsed="false">
      <c r="A70" s="0" t="s">
        <v>104</v>
      </c>
      <c r="B70" s="25" t="n">
        <f aca="false">B69^(1/5)-1</f>
        <v>0.202112639251426</v>
      </c>
    </row>
    <row r="71" customFormat="false" ht="15" hidden="false" customHeight="false" outlineLevel="0" collapsed="false">
      <c r="A71" s="0" t="s">
        <v>105</v>
      </c>
      <c r="B71" s="19" t="n">
        <f aca="false">IRR(B73:G73)</f>
        <v>0.202112639251426</v>
      </c>
    </row>
    <row r="73" customFormat="false" ht="15" hidden="false" customHeight="false" outlineLevel="0" collapsed="false">
      <c r="A73" s="0" t="s">
        <v>106</v>
      </c>
      <c r="B73" s="13" t="n">
        <f aca="false">-B68</f>
        <v>-961.4</v>
      </c>
      <c r="C73" s="10" t="n">
        <v>0</v>
      </c>
      <c r="D73" s="10" t="n">
        <v>0</v>
      </c>
      <c r="E73" s="10" t="n">
        <v>0</v>
      </c>
      <c r="F73" s="10" t="n">
        <v>0</v>
      </c>
      <c r="G73" s="13" t="n">
        <f aca="false">B67</f>
        <v>2413.4034818913</v>
      </c>
    </row>
    <row r="75" customFormat="false" ht="15" hidden="false" customHeight="false" outlineLevel="0" collapsed="false">
      <c r="A75" s="9" t="s">
        <v>107</v>
      </c>
      <c r="B75" s="9"/>
    </row>
    <row r="76" customFormat="false" ht="15" hidden="false" customHeight="false" outlineLevel="0" collapsed="false">
      <c r="A76" s="0" t="s">
        <v>108</v>
      </c>
      <c r="B76" s="13" t="n">
        <f aca="false">(G29-B29)*B8</f>
        <v>1005.612487794</v>
      </c>
      <c r="C76" s="19" t="n">
        <f aca="false">B76/$B$80</f>
        <v>0.69256892310213</v>
      </c>
    </row>
    <row r="77" customFormat="false" ht="15" hidden="false" customHeight="false" outlineLevel="0" collapsed="false">
      <c r="A77" s="0" t="s">
        <v>109</v>
      </c>
      <c r="B77" s="13" t="n">
        <f aca="false">(B18-B8)*G29</f>
        <v>0</v>
      </c>
      <c r="C77" s="19" t="n">
        <f aca="false">B77/$B$80</f>
        <v>0</v>
      </c>
    </row>
    <row r="78" customFormat="false" ht="15" hidden="false" customHeight="false" outlineLevel="0" collapsed="false">
      <c r="A78" s="0" t="s">
        <v>110</v>
      </c>
      <c r="B78" s="13" t="n">
        <f aca="false">B58-G58</f>
        <v>487.7909940973</v>
      </c>
      <c r="C78" s="19" t="n">
        <f aca="false">B78/$B$80</f>
        <v>0.335943405219614</v>
      </c>
    </row>
    <row r="79" customFormat="false" ht="15" hidden="false" customHeight="false" outlineLevel="0" collapsed="false">
      <c r="A79" s="0" t="s">
        <v>111</v>
      </c>
      <c r="B79" s="13" t="n">
        <f aca="false">-J8</f>
        <v>-41.4</v>
      </c>
      <c r="C79" s="19" t="n">
        <f aca="false">B79/$B$80</f>
        <v>-0.0285123283217438</v>
      </c>
    </row>
    <row r="80" customFormat="false" ht="15" hidden="false" customHeight="false" outlineLevel="0" collapsed="false">
      <c r="A80" s="0" t="s">
        <v>112</v>
      </c>
      <c r="B80" s="23" t="n">
        <f aca="false">SUM(B76:B79)</f>
        <v>1452.0034818913</v>
      </c>
    </row>
    <row r="81" customFormat="false" ht="15" hidden="false" customHeight="false" outlineLevel="0" collapsed="false">
      <c r="A81" s="0" t="s">
        <v>113</v>
      </c>
      <c r="B81" s="20" t="str">
        <f aca="false">IF(ABS(B80-(B67-B68))&lt;0.001,"OK","ERROR")</f>
        <v>OK</v>
      </c>
    </row>
    <row r="83" customFormat="false" ht="15" hidden="false" customHeight="false" outlineLevel="0" collapsed="false">
      <c r="A83" s="9" t="s">
        <v>114</v>
      </c>
      <c r="B83" s="9"/>
      <c r="C83" s="9"/>
      <c r="D83" s="9"/>
      <c r="E83" s="9"/>
      <c r="F83" s="9"/>
      <c r="G83" s="9"/>
    </row>
    <row r="84" customFormat="false" ht="15" hidden="false" customHeight="false" outlineLevel="0" collapsed="false">
      <c r="B84" s="26" t="n">
        <f aca="false">$B$18+(-1)</f>
        <v>8</v>
      </c>
      <c r="C84" s="26" t="n">
        <f aca="false">$B$18+(-0.5)</f>
        <v>8.5</v>
      </c>
      <c r="D84" s="26" t="n">
        <f aca="false">$B$18+(0)</f>
        <v>9</v>
      </c>
      <c r="E84" s="26" t="n">
        <f aca="false">$B$18+(0.5)</f>
        <v>9.5</v>
      </c>
      <c r="F84" s="26" t="n">
        <f aca="false">$B$18+(1)</f>
        <v>10</v>
      </c>
    </row>
    <row r="85" customFormat="false" ht="15" hidden="false" customHeight="false" outlineLevel="0" collapsed="false">
      <c r="A85" s="27" t="n">
        <f aca="false">$B$8+(-1)</f>
        <v>8</v>
      </c>
      <c r="B85" s="19" t="n">
        <f aca="false">IFERROR((($G$29*B$84-$G$58)/($B$7*$A85*(1+$B$9)+$B$10-$J$13-$J$14))^(1/5)-1,"n/a")</f>
        <v>0.233051113544664</v>
      </c>
      <c r="C85" s="19" t="n">
        <f aca="false">IFERROR((($G$29*C$84-$G$58)/($B$7*$A85*(1+$B$9)+$B$10-$J$13-$J$14))^(1/5)-1,"n/a")</f>
        <v>0.252751425797287</v>
      </c>
      <c r="D85" s="19" t="n">
        <f aca="false">IFERROR((($G$29*D$84-$G$58)/($B$7*$A85*(1+$B$9)+$B$10-$J$13-$J$14))^(1/5)-1,"n/a")</f>
        <v>0.271285235710849</v>
      </c>
      <c r="E85" s="19" t="n">
        <f aca="false">IFERROR((($G$29*E$84-$G$58)/($B$7*$A85*(1+$B$9)+$B$10-$J$13-$J$14))^(1/5)-1,"n/a")</f>
        <v>0.288797312500537</v>
      </c>
      <c r="F85" s="19" t="n">
        <f aca="false">IFERROR((($G$29*F$84-$G$58)/($B$7*$A85*(1+$B$9)+$B$10-$J$13-$J$14))^(1/5)-1,"n/a")</f>
        <v>0.305406269081623</v>
      </c>
    </row>
    <row r="86" customFormat="false" ht="15" hidden="false" customHeight="false" outlineLevel="0" collapsed="false">
      <c r="A86" s="27" t="n">
        <f aca="false">$B$8+(-0.5)</f>
        <v>8.5</v>
      </c>
      <c r="B86" s="19" t="n">
        <f aca="false">IFERROR((($G$29*B$84-$G$58)/($B$7*$A86*(1+$B$9)+$B$10-$J$13-$J$14))^(1/5)-1,"n/a")</f>
        <v>0.196699978998713</v>
      </c>
      <c r="C86" s="19" t="n">
        <f aca="false">IFERROR((($G$29*C$84-$G$58)/($B$7*$A86*(1+$B$9)+$B$10-$J$13-$J$14))^(1/5)-1,"n/a")</f>
        <v>0.21581951346084</v>
      </c>
      <c r="D86" s="19" t="n">
        <f aca="false">IFERROR((($G$29*D$84-$G$58)/($B$7*$A86*(1+$B$9)+$B$10-$J$13-$J$14))^(1/5)-1,"n/a")</f>
        <v>0.233806934818067</v>
      </c>
      <c r="E86" s="19" t="n">
        <f aca="false">IFERROR((($G$29*E$84-$G$58)/($B$7*$A86*(1+$B$9)+$B$10-$J$13-$J$14))^(1/5)-1,"n/a")</f>
        <v>0.250802744396632</v>
      </c>
      <c r="F86" s="19" t="n">
        <f aca="false">IFERROR((($G$29*F$84-$G$58)/($B$7*$A86*(1+$B$9)+$B$10-$J$13-$J$14))^(1/5)-1,"n/a")</f>
        <v>0.266922058327293</v>
      </c>
    </row>
    <row r="87" customFormat="false" ht="15" hidden="false" customHeight="false" outlineLevel="0" collapsed="false">
      <c r="A87" s="27" t="n">
        <f aca="false">$B$8+(0)</f>
        <v>9</v>
      </c>
      <c r="B87" s="19" t="n">
        <f aca="false">IFERROR((($G$29*B$84-$G$58)/($B$7*$A87*(1+$B$9)+$B$10-$J$13-$J$14))^(1/5)-1,"n/a")</f>
        <v>0.165958894823683</v>
      </c>
      <c r="C87" s="19" t="n">
        <f aca="false">IFERROR((($G$29*C$84-$G$58)/($B$7*$A87*(1+$B$9)+$B$10-$J$13-$J$14))^(1/5)-1,"n/a")</f>
        <v>0.184587282608613</v>
      </c>
      <c r="D87" s="28" t="n">
        <f aca="false">IFERROR((($G$29*D$84-$G$58)/($B$7*$A87*(1+$B$9)+$B$10-$J$13-$J$14))^(1/5)-1,"n/a")</f>
        <v>0.202112639251426</v>
      </c>
      <c r="E87" s="19" t="n">
        <f aca="false">IFERROR((($G$29*E$84-$G$58)/($B$7*$A87*(1+$B$9)+$B$10-$J$13-$J$14))^(1/5)-1,"n/a")</f>
        <v>0.218671856850342</v>
      </c>
      <c r="F87" s="19" t="n">
        <f aca="false">IFERROR((($G$29*F$84-$G$58)/($B$7*$A87*(1+$B$9)+$B$10-$J$13-$J$14))^(1/5)-1,"n/a")</f>
        <v>0.234377094408409</v>
      </c>
    </row>
    <row r="88" customFormat="false" ht="15" hidden="false" customHeight="false" outlineLevel="0" collapsed="false">
      <c r="A88" s="27" t="n">
        <f aca="false">$B$8+(0.5)</f>
        <v>9.5</v>
      </c>
      <c r="B88" s="19" t="n">
        <f aca="false">IFERROR((($G$29*B$84-$G$58)/($B$7*$A88*(1+$B$9)+$B$10-$J$13-$J$14))^(1/5)-1,"n/a")</f>
        <v>0.139420234676599</v>
      </c>
      <c r="C88" s="19" t="n">
        <f aca="false">IFERROR((($G$29*C$84-$G$58)/($B$7*$A88*(1+$B$9)+$B$10-$J$13-$J$14))^(1/5)-1,"n/a")</f>
        <v>0.15762461741752</v>
      </c>
      <c r="D88" s="19" t="n">
        <f aca="false">IFERROR((($G$29*D$84-$G$58)/($B$7*$A88*(1+$B$9)+$B$10-$J$13-$J$14))^(1/5)-1,"n/a")</f>
        <v>0.174751075363334</v>
      </c>
      <c r="E88" s="19" t="n">
        <f aca="false">IFERROR((($G$29*E$84-$G$58)/($B$7*$A88*(1+$B$9)+$B$10-$J$13-$J$14))^(1/5)-1,"n/a")</f>
        <v>0.190933384779543</v>
      </c>
      <c r="F88" s="19" t="n">
        <f aca="false">IFERROR((($G$29*F$84-$G$58)/($B$7*$A88*(1+$B$9)+$B$10-$J$13-$J$14))^(1/5)-1,"n/a")</f>
        <v>0.206281151792179</v>
      </c>
    </row>
    <row r="89" customFormat="false" ht="15" hidden="false" customHeight="false" outlineLevel="0" collapsed="false">
      <c r="A89" s="27" t="n">
        <f aca="false">$B$8+(1)</f>
        <v>10</v>
      </c>
      <c r="B89" s="19" t="n">
        <f aca="false">IFERROR((($G$29*B$84-$G$58)/($B$7*$A89*(1+$B$9)+$B$10-$J$13-$J$14))^(1/5)-1,"n/a")</f>
        <v>0.116137828243657</v>
      </c>
      <c r="C89" s="19" t="n">
        <f aca="false">IFERROR((($G$29*C$84-$G$58)/($B$7*$A89*(1+$B$9)+$B$10-$J$13-$J$14))^(1/5)-1,"n/a")</f>
        <v>0.133970230722217</v>
      </c>
      <c r="D89" s="19" t="n">
        <f aca="false">IFERROR((($G$29*D$84-$G$58)/($B$7*$A89*(1+$B$9)+$B$10-$J$13-$J$14))^(1/5)-1,"n/a")</f>
        <v>0.150746734241634</v>
      </c>
      <c r="E89" s="19" t="n">
        <f aca="false">IFERROR((($G$29*E$84-$G$58)/($B$7*$A89*(1+$B$9)+$B$10-$J$13-$J$14))^(1/5)-1,"n/a")</f>
        <v>0.166598381542685</v>
      </c>
      <c r="F89" s="19" t="n">
        <f aca="false">IFERROR((($G$29*F$84-$G$58)/($B$7*$A89*(1+$B$9)+$B$10-$J$13-$J$14))^(1/5)-1,"n/a")</f>
        <v>0.18163253910856</v>
      </c>
    </row>
    <row r="90" customFormat="false" ht="15" hidden="false" customHeight="false" outlineLevel="0" collapsed="false">
      <c r="A90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2026-10-21T23:16:41Z</dcterms:created>
  <dc:creator>openpyxl</dc:creator>
  <dc:description/>
  <dc:language>en-US</dc:language>
  <cp:lastModifiedBy/>
  <dcterms:modified xsi:type="dcterms:W3CDTF">2026-10-21T23:16:41Z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