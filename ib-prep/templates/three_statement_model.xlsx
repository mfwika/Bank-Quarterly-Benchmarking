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ide" sheetId="1" state="visible" r:id="rId3"/>
    <sheet name="Mode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<sst xmlns="http://schemas.openxmlformats.org/spreadsheetml/2006/main" count="111" uniqueCount="110">
  <si>
    <t xml:space="preserve">Three-Statement Model</t>
  </si>
  <si>
    <t xml:space="preserve">IB Prep Studio practice template. Source: illustrative figures for a fictional company (ExampleCo). Replace with real filings (10-K / annual report).</t>
  </si>
  <si>
    <t xml:space="preserve">What this model does</t>
  </si>
  <si>
    <t xml:space="preserve">1. Projects the income statement, balance sheet and cash flow statement for 5 years from 2 years of history.</t>
  </si>
  <si>
    <t xml:space="preserve">2. Links the statements through working capital, PP&amp;E and debt schedules, with a revolver that draws when cash falls below the minimum.</t>
  </si>
  <si>
    <t xml:space="preserve">3. Interest is calculated on beginning-of-year balances, so the model has no circular references.</t>
  </si>
  <si>
    <t xml:space="preserve">How to use it</t>
  </si>
  <si>
    <t xml:space="preserve">1. Go to the 'Model' sheet. Historical columns (FY2024A-FY2025A) are blue hard-codes; projections (FY2026E-FY2030E) are formulas.</t>
  </si>
  <si>
    <t xml:space="preserve">2. Change the yellow assumptions (growth, margins, days, capex, debt repayment, payout, minimum cash).</t>
  </si>
  <si>
    <t xml:space="preserve">3. Watch the balance check row: it must read OK in every year. If it doesn't, something is mis-linked.</t>
  </si>
  <si>
    <t xml:space="preserve">4. Best practice: rebuild this model on a blank sheet without looking, then compare it with this one.</t>
  </si>
  <si>
    <t xml:space="preserve">Practice drills</t>
  </si>
  <si>
    <t xml:space="preserve">1. Set FY2026E revenue growth to 20%. Before looking, predict whether cash goes up or down, and why (hint: working capital).</t>
  </si>
  <si>
    <t xml:space="preserve">2. Raise AR days from 50 to 70. Which three lines move on the cash flow statement and balance sheet?</t>
  </si>
  <si>
    <t xml:space="preserve">3. Set the minimum cash to 200. Find the year the revolver draws and trace where the draw shows up.</t>
  </si>
  <si>
    <t xml:space="preserve">4. Set the dividend payout to 100%. What happens to retained earnings and to the revolver?</t>
  </si>
  <si>
    <t xml:space="preserve">5. Delete the formula in one projected BS cell, see the check break, then fix it.</t>
  </si>
  <si>
    <t xml:space="preserve">Colour legend</t>
  </si>
  <si>
    <t xml:space="preserve">1. Blue text = hard-coded input. Yellow fill = key assumption you are meant to change.</t>
  </si>
  <si>
    <t xml:space="preserve">2. Black text = formula. Never type over a black cell.</t>
  </si>
  <si>
    <t xml:space="preserve">3. Green text = link pulling a value from another sheet.</t>
  </si>
  <si>
    <t xml:space="preserve">4. Negative numbers show in (parentheses); zeros show as '-'.</t>
  </si>
  <si>
    <t xml:space="preserve">Input example</t>
  </si>
  <si>
    <t xml:space="preserve">Key assumption example</t>
  </si>
  <si>
    <t xml:space="preserve">Formula example</t>
  </si>
  <si>
    <t xml:space="preserve">Link example</t>
  </si>
  <si>
    <t xml:space="preserve">ExampleCo - Three-Statement Model</t>
  </si>
  <si>
    <t xml:space="preserve">($ in millions, fiscal years ending 31-Dec)   Source: illustrative figures for a fictional company (ExampleCo). Replace with real filings (10-K / annual report).</t>
  </si>
  <si>
    <t xml:space="preserve">Legend: blue = input, yellow fill = key assumption to change, black = formula, green = link to another sheet.</t>
  </si>
  <si>
    <t xml:space="preserve">($ in millions)</t>
  </si>
  <si>
    <t xml:space="preserve">FY2024A</t>
  </si>
  <si>
    <t xml:space="preserve">FY2025A</t>
  </si>
  <si>
    <t xml:space="preserve">FY2026E</t>
  </si>
  <si>
    <t xml:space="preserve">FY2027E</t>
  </si>
  <si>
    <t xml:space="preserve">FY2028E</t>
  </si>
  <si>
    <t xml:space="preserve">FY2029E</t>
  </si>
  <si>
    <t xml:space="preserve">FY2030E</t>
  </si>
  <si>
    <t xml:space="preserve">ASSUMPTIONS</t>
  </si>
  <si>
    <t xml:space="preserve">Revenue growth</t>
  </si>
  <si>
    <t xml:space="preserve">Gross margin</t>
  </si>
  <si>
    <t xml:space="preserve">SG&amp;A % of revenue</t>
  </si>
  <si>
    <t xml:space="preserve">D&amp;A % of revenue</t>
  </si>
  <si>
    <t xml:space="preserve">Capex % of revenue</t>
  </si>
  <si>
    <t xml:space="preserve">Tax rate</t>
  </si>
  <si>
    <t xml:space="preserve">Accounts receivable days (of revenue)</t>
  </si>
  <si>
    <t xml:space="preserve">Inventory days (of COGS)</t>
  </si>
  <si>
    <t xml:space="preserve">Accounts payable days (of COGS)</t>
  </si>
  <si>
    <t xml:space="preserve">Interest rate - term debt</t>
  </si>
  <si>
    <t xml:space="preserve">Interest rate - revolver</t>
  </si>
  <si>
    <t xml:space="preserve">Interest rate earned on cash</t>
  </si>
  <si>
    <t xml:space="preserve">Mandatory term debt repayment ($)</t>
  </si>
  <si>
    <t xml:space="preserve">Dividend payout (% of net income)</t>
  </si>
  <si>
    <t xml:space="preserve">Minimum cash balance ($)</t>
  </si>
  <si>
    <t xml:space="preserve">INCOME STATEMENT</t>
  </si>
  <si>
    <t xml:space="preserve">Revenue</t>
  </si>
  <si>
    <t xml:space="preserve">Cost of goods sold</t>
  </si>
  <si>
    <t xml:space="preserve">Gross profit</t>
  </si>
  <si>
    <t xml:space="preserve">SG&amp;A</t>
  </si>
  <si>
    <t xml:space="preserve">EBITDA</t>
  </si>
  <si>
    <t xml:space="preserve">Depreciation &amp; amortization</t>
  </si>
  <si>
    <t xml:space="preserve">EBIT</t>
  </si>
  <si>
    <t xml:space="preserve">Interest expense</t>
  </si>
  <si>
    <t xml:space="preserve">Interest income</t>
  </si>
  <si>
    <t xml:space="preserve">Pre-tax income</t>
  </si>
  <si>
    <t xml:space="preserve">Income taxes</t>
  </si>
  <si>
    <t xml:space="preserve">Net income</t>
  </si>
  <si>
    <t xml:space="preserve">EBITDA margin</t>
  </si>
  <si>
    <t xml:space="preserve">BALANCE SHEET</t>
  </si>
  <si>
    <t xml:space="preserve">Cash</t>
  </si>
  <si>
    <t xml:space="preserve">Accounts receivable</t>
  </si>
  <si>
    <t xml:space="preserve">Inventory</t>
  </si>
  <si>
    <t xml:space="preserve">Total current assets</t>
  </si>
  <si>
    <t xml:space="preserve">PP&amp;E, net</t>
  </si>
  <si>
    <t xml:space="preserve">Total assets</t>
  </si>
  <si>
    <t xml:space="preserve">Accounts payable</t>
  </si>
  <si>
    <t xml:space="preserve">Revolver</t>
  </si>
  <si>
    <t xml:space="preserve">Term debt</t>
  </si>
  <si>
    <t xml:space="preserve">Total liabilities</t>
  </si>
  <si>
    <t xml:space="preserve">Common stock &amp; APIC</t>
  </si>
  <si>
    <t xml:space="preserve">Retained earnings</t>
  </si>
  <si>
    <t xml:space="preserve">Total equity</t>
  </si>
  <si>
    <t xml:space="preserve">Total liabilities &amp; equity</t>
  </si>
  <si>
    <t xml:space="preserve">Balance check (assets - L&amp;E)</t>
  </si>
  <si>
    <t xml:space="preserve">CASH FLOW STATEMENT</t>
  </si>
  <si>
    <t xml:space="preserve">Plus: D&amp;A</t>
  </si>
  <si>
    <t xml:space="preserve">(Increase) / decrease in receivables</t>
  </si>
  <si>
    <t xml:space="preserve">(Increase) / decrease in inventory</t>
  </si>
  <si>
    <t xml:space="preserve">Increase / (decrease) in payables</t>
  </si>
  <si>
    <t xml:space="preserve">Cash flow from operations</t>
  </si>
  <si>
    <t xml:space="preserve">Capital expenditures</t>
  </si>
  <si>
    <t xml:space="preserve">Cash flow from investing</t>
  </si>
  <si>
    <t xml:space="preserve">Term debt repayment</t>
  </si>
  <si>
    <t xml:space="preserve">Dividends paid</t>
  </si>
  <si>
    <t xml:space="preserve">Revolver draw / (repayment)</t>
  </si>
  <si>
    <t xml:space="preserve">Cash flow from financing</t>
  </si>
  <si>
    <t xml:space="preserve">Net change in cash</t>
  </si>
  <si>
    <t xml:space="preserve">Beginning cash</t>
  </si>
  <si>
    <t xml:space="preserve">Ending cash</t>
  </si>
  <si>
    <t xml:space="preserve">SUPPORTING SCHEDULES</t>
  </si>
  <si>
    <t xml:space="preserve">PP&amp;E - beginning</t>
  </si>
  <si>
    <t xml:space="preserve">Plus: capex</t>
  </si>
  <si>
    <t xml:space="preserve">Less: D&amp;A</t>
  </si>
  <si>
    <t xml:space="preserve">PP&amp;E - ending</t>
  </si>
  <si>
    <t xml:space="preserve">Term debt - beginning</t>
  </si>
  <si>
    <t xml:space="preserve">Less: mandatory repayment</t>
  </si>
  <si>
    <t xml:space="preserve">Term debt - ending</t>
  </si>
  <si>
    <t xml:space="preserve">Cash before revolver (beginning cash + CFO + CFI + repayment + dividends)</t>
  </si>
  <si>
    <t xml:space="preserve">Revolver - beginning</t>
  </si>
  <si>
    <t xml:space="preserve">Draw / (repayment)</t>
  </si>
  <si>
    <t xml:space="preserve">Revolver - ending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</si>
</sst>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_);\(0.0%\);\-_)"/>
    <numFmt numFmtId="166" formatCode="#,##0_);\(#,##0\);\-_)"/>
    <numFmt numFmtId="167" formatCode="#,##0.0_);\(#,##0.0\);\-_)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A3122A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A3122A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  <fill>
      <patternFill patternType="solid">
        <fgColor rgb="FFA3122A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A3122A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0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4" t="s">
        <v>3</v>
      </c>
    </row>
    <row r="6" customFormat="false" ht="23.85" hidden="false" customHeight="false" outlineLevel="0" collapsed="false">
      <c r="B6" s="4" t="s">
        <v>4</v>
      </c>
    </row>
    <row r="7" customFormat="false" ht="15" hidden="false" customHeight="false" outlineLevel="0" collapsed="false">
      <c r="B7" s="4" t="s">
        <v>5</v>
      </c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15" hidden="false" customHeight="false" outlineLevel="0" collapsed="false">
      <c r="B11" s="4" t="s">
        <v>8</v>
      </c>
    </row>
    <row r="12" customFormat="false" ht="15" hidden="false" customHeight="false" outlineLevel="0" collapsed="false">
      <c r="B12" s="4" t="s">
        <v>9</v>
      </c>
    </row>
    <row r="13" customFormat="false" ht="15" hidden="false" customHeight="false" outlineLevel="0" collapsed="false">
      <c r="B13" s="4" t="s">
        <v>10</v>
      </c>
    </row>
    <row r="15" customFormat="false" ht="15" hidden="false" customHeight="false" outlineLevel="0" collapsed="false">
      <c r="B15" s="3" t="s">
        <v>11</v>
      </c>
    </row>
    <row r="16" customFormat="false" ht="15" hidden="false" customHeight="false" outlineLevel="0" collapsed="false">
      <c r="B16" s="4" t="s">
        <v>12</v>
      </c>
    </row>
    <row r="17" customFormat="false" ht="15" hidden="false" customHeight="false" outlineLevel="0" collapsed="false">
      <c r="B17" s="4" t="s">
        <v>13</v>
      </c>
    </row>
    <row r="18" customFormat="false" ht="15" hidden="false" customHeight="false" outlineLevel="0" collapsed="false">
      <c r="B18" s="4" t="s">
        <v>14</v>
      </c>
    </row>
    <row r="19" customFormat="false" ht="15" hidden="false" customHeight="false" outlineLevel="0" collapsed="false">
      <c r="B19" s="4" t="s">
        <v>15</v>
      </c>
    </row>
    <row r="20" customFormat="false" ht="15" hidden="false" customHeight="false" outlineLevel="0" collapsed="false">
      <c r="B20" s="4" t="s">
        <v>16</v>
      </c>
    </row>
    <row r="22" customFormat="false" ht="15" hidden="false" customHeight="false" outlineLevel="0" collapsed="false">
      <c r="B22" s="3" t="s">
        <v>17</v>
      </c>
    </row>
    <row r="23" customFormat="false" ht="15" hidden="false" customHeight="false" outlineLevel="0" collapsed="false">
      <c r="B23" s="4" t="s">
        <v>18</v>
      </c>
    </row>
    <row r="24" customFormat="false" ht="15" hidden="false" customHeight="false" outlineLevel="0" collapsed="false">
      <c r="B24" s="4" t="s">
        <v>19</v>
      </c>
    </row>
    <row r="25" customFormat="false" ht="15" hidden="false" customHeight="false" outlineLevel="0" collapsed="false">
      <c r="B25" s="4" t="s">
        <v>20</v>
      </c>
    </row>
    <row r="26" customFormat="false" ht="15" hidden="false" customHeight="false" outlineLevel="0" collapsed="false">
      <c r="B26" s="4" t="s">
        <v>21</v>
      </c>
    </row>
    <row r="28" customFormat="false" ht="15" hidden="false" customHeight="false" outlineLevel="0" collapsed="false">
      <c r="B28" s="5" t="s">
        <v>22</v>
      </c>
    </row>
    <row r="29" customFormat="false" ht="15" hidden="false" customHeight="false" outlineLevel="0" collapsed="false">
      <c r="B29" s="6" t="s">
        <v>23</v>
      </c>
    </row>
    <row r="30" customFormat="false" ht="15" hidden="false" customHeight="false" outlineLevel="0" collapsed="false">
      <c r="B30" s="7" t="s">
        <v>24</v>
      </c>
    </row>
    <row r="31" customFormat="false" ht="15" hidden="false" customHeight="false" outlineLevel="0" collapsed="false">
      <c r="B31" s="8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8" min="2" style="0" width="12"/>
  </cols>
  <sheetData>
    <row r="1" customFormat="false" ht="17.35" hidden="false" customHeight="false" outlineLevel="0" collapsed="false">
      <c r="A1" s="1" t="s">
        <v>26</v>
      </c>
    </row>
    <row r="2" customFormat="false" ht="15" hidden="false" customHeight="false" outlineLevel="0" collapsed="false">
      <c r="A2" s="2" t="s">
        <v>27</v>
      </c>
    </row>
    <row r="3" customFormat="false" ht="15" hidden="false" customHeight="false" outlineLevel="0" collapsed="false">
      <c r="A3" s="2" t="s">
        <v>28</v>
      </c>
    </row>
    <row r="5" customFormat="false" ht="15" hidden="false" customHeight="false" outlineLevel="0" collapsed="false">
      <c r="A5" s="9" t="s">
        <v>29</v>
      </c>
      <c r="B5" s="10" t="s">
        <v>30</v>
      </c>
      <c r="C5" s="10" t="s">
        <v>31</v>
      </c>
      <c r="D5" s="10" t="s">
        <v>32</v>
      </c>
      <c r="E5" s="10" t="s">
        <v>33</v>
      </c>
      <c r="F5" s="10" t="s">
        <v>34</v>
      </c>
      <c r="G5" s="10" t="s">
        <v>35</v>
      </c>
      <c r="H5" s="10" t="s">
        <v>36</v>
      </c>
    </row>
    <row r="6" customFormat="false" ht="15" hidden="false" customHeight="false" outlineLevel="0" collapsed="false">
      <c r="A6" s="11" t="s">
        <v>37</v>
      </c>
      <c r="B6" s="11"/>
      <c r="C6" s="11"/>
      <c r="D6" s="11"/>
      <c r="E6" s="11"/>
      <c r="F6" s="11"/>
      <c r="G6" s="11"/>
      <c r="H6" s="11"/>
    </row>
    <row r="7" customFormat="false" ht="15" hidden="false" customHeight="false" outlineLevel="0" collapsed="false">
      <c r="A7" s="7" t="s">
        <v>38</v>
      </c>
      <c r="C7" s="12" t="n">
        <f aca="false">C24/B24-1</f>
        <v>0.1</v>
      </c>
      <c r="D7" s="13" t="n">
        <v>0.08</v>
      </c>
      <c r="E7" s="13" t="n">
        <v>0.07</v>
      </c>
      <c r="F7" s="13" t="n">
        <v>0.06</v>
      </c>
      <c r="G7" s="13" t="n">
        <v>0.05</v>
      </c>
      <c r="H7" s="13" t="n">
        <v>0.04</v>
      </c>
    </row>
    <row r="8" customFormat="false" ht="15" hidden="false" customHeight="false" outlineLevel="0" collapsed="false">
      <c r="A8" s="7" t="s">
        <v>39</v>
      </c>
      <c r="B8" s="12" t="n">
        <f aca="false">B26/B24</f>
        <v>0.4</v>
      </c>
      <c r="C8" s="12" t="n">
        <f aca="false">C26/C24</f>
        <v>0.404545454545455</v>
      </c>
      <c r="D8" s="13" t="n">
        <v>0.405</v>
      </c>
      <c r="E8" s="13" t="n">
        <v>0.405</v>
      </c>
      <c r="F8" s="13" t="n">
        <v>0.405</v>
      </c>
      <c r="G8" s="13" t="n">
        <v>0.405</v>
      </c>
      <c r="H8" s="13" t="n">
        <v>0.405</v>
      </c>
    </row>
    <row r="9" customFormat="false" ht="15" hidden="false" customHeight="false" outlineLevel="0" collapsed="false">
      <c r="A9" s="7" t="s">
        <v>40</v>
      </c>
      <c r="B9" s="12" t="n">
        <f aca="false">B27/B24</f>
        <v>0.2</v>
      </c>
      <c r="C9" s="12" t="n">
        <f aca="false">C27/C24</f>
        <v>0.195454545454545</v>
      </c>
      <c r="D9" s="13" t="n">
        <v>0.195</v>
      </c>
      <c r="E9" s="13" t="n">
        <v>0.195</v>
      </c>
      <c r="F9" s="13" t="n">
        <v>0.195</v>
      </c>
      <c r="G9" s="13" t="n">
        <v>0.195</v>
      </c>
      <c r="H9" s="13" t="n">
        <v>0.195</v>
      </c>
    </row>
    <row r="10" customFormat="false" ht="15" hidden="false" customHeight="false" outlineLevel="0" collapsed="false">
      <c r="A10" s="7" t="s">
        <v>41</v>
      </c>
      <c r="B10" s="12" t="n">
        <f aca="false">B29/B24</f>
        <v>0.04</v>
      </c>
      <c r="C10" s="12" t="n">
        <f aca="false">C29/C24</f>
        <v>0.04</v>
      </c>
      <c r="D10" s="13" t="n">
        <v>0.04</v>
      </c>
      <c r="E10" s="13" t="n">
        <v>0.04</v>
      </c>
      <c r="F10" s="13" t="n">
        <v>0.04</v>
      </c>
      <c r="G10" s="13" t="n">
        <v>0.04</v>
      </c>
      <c r="H10" s="13" t="n">
        <v>0.04</v>
      </c>
    </row>
    <row r="11" customFormat="false" ht="15" hidden="false" customHeight="false" outlineLevel="0" collapsed="false">
      <c r="A11" s="7" t="s">
        <v>42</v>
      </c>
      <c r="D11" s="13" t="n">
        <v>0.05</v>
      </c>
      <c r="E11" s="13" t="n">
        <v>0.05</v>
      </c>
      <c r="F11" s="13" t="n">
        <v>0.05</v>
      </c>
      <c r="G11" s="13" t="n">
        <v>0.05</v>
      </c>
      <c r="H11" s="13" t="n">
        <v>0.05</v>
      </c>
    </row>
    <row r="12" customFormat="false" ht="15" hidden="false" customHeight="false" outlineLevel="0" collapsed="false">
      <c r="A12" s="7" t="s">
        <v>43</v>
      </c>
      <c r="B12" s="12" t="n">
        <f aca="false">B34/B33</f>
        <v>0.25</v>
      </c>
      <c r="C12" s="12" t="n">
        <f aca="false">C34/C33</f>
        <v>0.25</v>
      </c>
      <c r="D12" s="13" t="n">
        <v>0.25</v>
      </c>
      <c r="E12" s="13" t="n">
        <v>0.25</v>
      </c>
      <c r="F12" s="13" t="n">
        <v>0.25</v>
      </c>
      <c r="G12" s="13" t="n">
        <v>0.25</v>
      </c>
      <c r="H12" s="13" t="n">
        <v>0.25</v>
      </c>
    </row>
    <row r="13" customFormat="false" ht="15" hidden="false" customHeight="false" outlineLevel="0" collapsed="false">
      <c r="A13" s="7" t="s">
        <v>44</v>
      </c>
      <c r="B13" s="14" t="n">
        <f aca="false">B40/B24*365</f>
        <v>50.005</v>
      </c>
      <c r="C13" s="14" t="n">
        <f aca="false">C40/C24*365</f>
        <v>50.1045454545455</v>
      </c>
      <c r="D13" s="15" t="n">
        <v>50</v>
      </c>
      <c r="E13" s="15" t="n">
        <v>50</v>
      </c>
      <c r="F13" s="15" t="n">
        <v>50</v>
      </c>
      <c r="G13" s="15" t="n">
        <v>50</v>
      </c>
      <c r="H13" s="15" t="n">
        <v>50</v>
      </c>
    </row>
    <row r="14" customFormat="false" ht="15" hidden="false" customHeight="false" outlineLevel="0" collapsed="false">
      <c r="A14" s="7" t="s">
        <v>45</v>
      </c>
      <c r="B14" s="14" t="n">
        <f aca="false">B41/B25*365</f>
        <v>60.225</v>
      </c>
      <c r="C14" s="14" t="n">
        <f aca="false">C41/C25*365</f>
        <v>60.1832061068702</v>
      </c>
      <c r="D14" s="15" t="n">
        <v>60</v>
      </c>
      <c r="E14" s="15" t="n">
        <v>60</v>
      </c>
      <c r="F14" s="15" t="n">
        <v>60</v>
      </c>
      <c r="G14" s="15" t="n">
        <v>60</v>
      </c>
      <c r="H14" s="15" t="n">
        <v>60</v>
      </c>
    </row>
    <row r="15" customFormat="false" ht="15" hidden="false" customHeight="false" outlineLevel="0" collapsed="false">
      <c r="A15" s="7" t="s">
        <v>46</v>
      </c>
      <c r="B15" s="14" t="n">
        <f aca="false">B46/B25*365</f>
        <v>45.0166666666667</v>
      </c>
      <c r="C15" s="14" t="n">
        <f aca="false">C46/C25*365</f>
        <v>45.1374045801527</v>
      </c>
      <c r="D15" s="15" t="n">
        <v>45</v>
      </c>
      <c r="E15" s="15" t="n">
        <v>45</v>
      </c>
      <c r="F15" s="15" t="n">
        <v>45</v>
      </c>
      <c r="G15" s="15" t="n">
        <v>45</v>
      </c>
      <c r="H15" s="15" t="n">
        <v>45</v>
      </c>
    </row>
    <row r="16" customFormat="false" ht="15" hidden="false" customHeight="false" outlineLevel="0" collapsed="false">
      <c r="A16" s="7" t="s">
        <v>47</v>
      </c>
      <c r="D16" s="13" t="n">
        <v>0.075</v>
      </c>
      <c r="E16" s="13" t="n">
        <v>0.075</v>
      </c>
      <c r="F16" s="13" t="n">
        <v>0.075</v>
      </c>
      <c r="G16" s="13" t="n">
        <v>0.075</v>
      </c>
      <c r="H16" s="13" t="n">
        <v>0.075</v>
      </c>
    </row>
    <row r="17" customFormat="false" ht="15" hidden="false" customHeight="false" outlineLevel="0" collapsed="false">
      <c r="A17" s="7" t="s">
        <v>48</v>
      </c>
      <c r="D17" s="13" t="n">
        <v>0.08</v>
      </c>
      <c r="E17" s="13" t="n">
        <v>0.08</v>
      </c>
      <c r="F17" s="13" t="n">
        <v>0.08</v>
      </c>
      <c r="G17" s="13" t="n">
        <v>0.08</v>
      </c>
      <c r="H17" s="13" t="n">
        <v>0.08</v>
      </c>
    </row>
    <row r="18" customFormat="false" ht="15" hidden="false" customHeight="false" outlineLevel="0" collapsed="false">
      <c r="A18" s="7" t="s">
        <v>49</v>
      </c>
      <c r="D18" s="13" t="n">
        <v>0.03</v>
      </c>
      <c r="E18" s="13" t="n">
        <v>0.03</v>
      </c>
      <c r="F18" s="13" t="n">
        <v>0.03</v>
      </c>
      <c r="G18" s="13" t="n">
        <v>0.03</v>
      </c>
      <c r="H18" s="13" t="n">
        <v>0.03</v>
      </c>
    </row>
    <row r="19" customFormat="false" ht="15" hidden="false" customHeight="false" outlineLevel="0" collapsed="false">
      <c r="A19" s="7" t="s">
        <v>50</v>
      </c>
      <c r="D19" s="16" t="n">
        <v>20</v>
      </c>
      <c r="E19" s="16" t="n">
        <v>20</v>
      </c>
      <c r="F19" s="16" t="n">
        <v>20</v>
      </c>
      <c r="G19" s="16" t="n">
        <v>20</v>
      </c>
      <c r="H19" s="16" t="n">
        <v>20</v>
      </c>
    </row>
    <row r="20" customFormat="false" ht="15" hidden="false" customHeight="false" outlineLevel="0" collapsed="false">
      <c r="A20" s="7" t="s">
        <v>51</v>
      </c>
      <c r="D20" s="13" t="n">
        <v>0.3</v>
      </c>
      <c r="E20" s="13" t="n">
        <v>0.3</v>
      </c>
      <c r="F20" s="13" t="n">
        <v>0.3</v>
      </c>
      <c r="G20" s="13" t="n">
        <v>0.3</v>
      </c>
      <c r="H20" s="13" t="n">
        <v>0.3</v>
      </c>
    </row>
    <row r="21" customFormat="false" ht="15" hidden="false" customHeight="false" outlineLevel="0" collapsed="false">
      <c r="A21" s="7" t="s">
        <v>52</v>
      </c>
      <c r="D21" s="16" t="n">
        <v>50</v>
      </c>
      <c r="E21" s="16" t="n">
        <v>50</v>
      </c>
      <c r="F21" s="16" t="n">
        <v>50</v>
      </c>
      <c r="G21" s="16" t="n">
        <v>50</v>
      </c>
      <c r="H21" s="16" t="n">
        <v>50</v>
      </c>
    </row>
    <row r="23" customFormat="false" ht="15" hidden="false" customHeight="false" outlineLevel="0" collapsed="false">
      <c r="A23" s="11" t="s">
        <v>53</v>
      </c>
      <c r="B23" s="11"/>
      <c r="C23" s="11"/>
      <c r="D23" s="11"/>
      <c r="E23" s="11"/>
      <c r="F23" s="11"/>
      <c r="G23" s="11"/>
      <c r="H23" s="11"/>
    </row>
    <row r="24" customFormat="false" ht="15" hidden="false" customHeight="false" outlineLevel="0" collapsed="false">
      <c r="A24" s="9" t="s">
        <v>54</v>
      </c>
      <c r="B24" s="17" t="n">
        <v>1000</v>
      </c>
      <c r="C24" s="17" t="n">
        <v>1100</v>
      </c>
      <c r="D24" s="18" t="n">
        <f aca="false">C24*(1+D7)</f>
        <v>1188</v>
      </c>
      <c r="E24" s="18" t="n">
        <f aca="false">D24*(1+E7)</f>
        <v>1271.16</v>
      </c>
      <c r="F24" s="18" t="n">
        <f aca="false">E24*(1+F7)</f>
        <v>1347.4296</v>
      </c>
      <c r="G24" s="18" t="n">
        <f aca="false">F24*(1+G7)</f>
        <v>1414.80108</v>
      </c>
      <c r="H24" s="18" t="n">
        <f aca="false">G24*(1+H7)</f>
        <v>1471.3931232</v>
      </c>
    </row>
    <row r="25" customFormat="false" ht="15" hidden="false" customHeight="false" outlineLevel="0" collapsed="false">
      <c r="A25" s="7" t="s">
        <v>55</v>
      </c>
      <c r="B25" s="17" t="n">
        <v>600</v>
      </c>
      <c r="C25" s="17" t="n">
        <v>655</v>
      </c>
      <c r="D25" s="19" t="n">
        <f aca="false">D24*(1-D8)</f>
        <v>706.86</v>
      </c>
      <c r="E25" s="19" t="n">
        <f aca="false">E24*(1-E8)</f>
        <v>756.3402</v>
      </c>
      <c r="F25" s="19" t="n">
        <f aca="false">F24*(1-F8)</f>
        <v>801.720612</v>
      </c>
      <c r="G25" s="19" t="n">
        <f aca="false">G24*(1-G8)</f>
        <v>841.8066426</v>
      </c>
      <c r="H25" s="19" t="n">
        <f aca="false">H24*(1-H8)</f>
        <v>875.478908304</v>
      </c>
    </row>
    <row r="26" customFormat="false" ht="15" hidden="false" customHeight="false" outlineLevel="0" collapsed="false">
      <c r="A26" s="7" t="s">
        <v>56</v>
      </c>
      <c r="B26" s="20" t="n">
        <f aca="false">B24-B25</f>
        <v>400</v>
      </c>
      <c r="C26" s="20" t="n">
        <f aca="false">C24-C25</f>
        <v>445</v>
      </c>
      <c r="D26" s="20" t="n">
        <f aca="false">D24-D25</f>
        <v>481.14</v>
      </c>
      <c r="E26" s="20" t="n">
        <f aca="false">E24-E25</f>
        <v>514.8198</v>
      </c>
      <c r="F26" s="20" t="n">
        <f aca="false">F24-F25</f>
        <v>545.708988</v>
      </c>
      <c r="G26" s="20" t="n">
        <f aca="false">G24-G25</f>
        <v>572.9944374</v>
      </c>
      <c r="H26" s="20" t="n">
        <f aca="false">H24-H25</f>
        <v>595.914214896</v>
      </c>
    </row>
    <row r="27" customFormat="false" ht="15" hidden="false" customHeight="false" outlineLevel="0" collapsed="false">
      <c r="A27" s="7" t="s">
        <v>57</v>
      </c>
      <c r="B27" s="17" t="n">
        <v>200</v>
      </c>
      <c r="C27" s="17" t="n">
        <v>215</v>
      </c>
      <c r="D27" s="19" t="n">
        <f aca="false">D24*D9</f>
        <v>231.66</v>
      </c>
      <c r="E27" s="19" t="n">
        <f aca="false">E24*E9</f>
        <v>247.8762</v>
      </c>
      <c r="F27" s="19" t="n">
        <f aca="false">F24*F9</f>
        <v>262.748772</v>
      </c>
      <c r="G27" s="19" t="n">
        <f aca="false">G24*G9</f>
        <v>275.8862106</v>
      </c>
      <c r="H27" s="19" t="n">
        <f aca="false">H24*H9</f>
        <v>286.921659024</v>
      </c>
    </row>
    <row r="28" customFormat="false" ht="15" hidden="false" customHeight="false" outlineLevel="0" collapsed="false">
      <c r="A28" s="9" t="s">
        <v>58</v>
      </c>
      <c r="B28" s="21" t="n">
        <f aca="false">B26-B27</f>
        <v>200</v>
      </c>
      <c r="C28" s="21" t="n">
        <f aca="false">C26-C27</f>
        <v>230</v>
      </c>
      <c r="D28" s="21" t="n">
        <f aca="false">D26-D27</f>
        <v>249.48</v>
      </c>
      <c r="E28" s="21" t="n">
        <f aca="false">E26-E27</f>
        <v>266.9436</v>
      </c>
      <c r="F28" s="21" t="n">
        <f aca="false">F26-F27</f>
        <v>282.960216</v>
      </c>
      <c r="G28" s="21" t="n">
        <f aca="false">G26-G27</f>
        <v>297.1082268</v>
      </c>
      <c r="H28" s="21" t="n">
        <f aca="false">H26-H27</f>
        <v>308.992555872</v>
      </c>
    </row>
    <row r="29" customFormat="false" ht="15" hidden="false" customHeight="false" outlineLevel="0" collapsed="false">
      <c r="A29" s="7" t="s">
        <v>59</v>
      </c>
      <c r="B29" s="17" t="n">
        <v>40</v>
      </c>
      <c r="C29" s="17" t="n">
        <v>44</v>
      </c>
      <c r="D29" s="19" t="n">
        <f aca="false">D76</f>
        <v>47.52</v>
      </c>
      <c r="E29" s="19" t="n">
        <f aca="false">E76</f>
        <v>50.8464</v>
      </c>
      <c r="F29" s="19" t="n">
        <f aca="false">F76</f>
        <v>53.897184</v>
      </c>
      <c r="G29" s="19" t="n">
        <f aca="false">G76</f>
        <v>56.5920432</v>
      </c>
      <c r="H29" s="19" t="n">
        <f aca="false">H76</f>
        <v>58.855724928</v>
      </c>
    </row>
    <row r="30" customFormat="false" ht="15" hidden="false" customHeight="false" outlineLevel="0" collapsed="false">
      <c r="A30" s="7" t="s">
        <v>60</v>
      </c>
      <c r="B30" s="20" t="n">
        <f aca="false">B28-B29</f>
        <v>160</v>
      </c>
      <c r="C30" s="20" t="n">
        <f aca="false">C28-C29</f>
        <v>186</v>
      </c>
      <c r="D30" s="20" t="n">
        <f aca="false">D28-D29</f>
        <v>201.96</v>
      </c>
      <c r="E30" s="20" t="n">
        <f aca="false">E28-E29</f>
        <v>216.0972</v>
      </c>
      <c r="F30" s="20" t="n">
        <f aca="false">F28-F29</f>
        <v>229.063032</v>
      </c>
      <c r="G30" s="20" t="n">
        <f aca="false">G28-G29</f>
        <v>240.5161836</v>
      </c>
      <c r="H30" s="20" t="n">
        <f aca="false">H28-H29</f>
        <v>250.136830944</v>
      </c>
    </row>
    <row r="31" customFormat="false" ht="15" hidden="false" customHeight="false" outlineLevel="0" collapsed="false">
      <c r="A31" s="7" t="s">
        <v>61</v>
      </c>
      <c r="B31" s="17" t="n">
        <v>24</v>
      </c>
      <c r="C31" s="17" t="n">
        <v>22</v>
      </c>
      <c r="D31" s="19" t="n">
        <f aca="false">D79*D16+D84*D17</f>
        <v>21</v>
      </c>
      <c r="E31" s="19" t="n">
        <f aca="false">E79*E16+E84*E17</f>
        <v>19.5</v>
      </c>
      <c r="F31" s="19" t="n">
        <f aca="false">F79*F16+F84*F17</f>
        <v>18</v>
      </c>
      <c r="G31" s="19" t="n">
        <f aca="false">G79*G16+G84*G17</f>
        <v>16.5</v>
      </c>
      <c r="H31" s="19" t="n">
        <f aca="false">H79*H16+H84*H17</f>
        <v>15</v>
      </c>
    </row>
    <row r="32" customFormat="false" ht="15" hidden="false" customHeight="false" outlineLevel="0" collapsed="false">
      <c r="A32" s="7" t="s">
        <v>62</v>
      </c>
      <c r="B32" s="17" t="n">
        <v>2</v>
      </c>
      <c r="C32" s="17" t="n">
        <v>3</v>
      </c>
      <c r="D32" s="19" t="n">
        <f aca="false">C39*D18</f>
        <v>2.85</v>
      </c>
      <c r="E32" s="19" t="n">
        <f aca="false">D39*E18</f>
        <v>4.37494448630137</v>
      </c>
      <c r="F32" s="19" t="n">
        <f aca="false">E39*F18</f>
        <v>6.15615135100171</v>
      </c>
      <c r="G32" s="19" t="n">
        <f aca="false">F39*G18</f>
        <v>8.20373944330054</v>
      </c>
      <c r="H32" s="19" t="n">
        <f aca="false">G39*H18</f>
        <v>10.5104726777257</v>
      </c>
    </row>
    <row r="33" customFormat="false" ht="15" hidden="false" customHeight="false" outlineLevel="0" collapsed="false">
      <c r="A33" s="7" t="s">
        <v>63</v>
      </c>
      <c r="B33" s="20" t="n">
        <f aca="false">B30-B31+B32</f>
        <v>138</v>
      </c>
      <c r="C33" s="20" t="n">
        <f aca="false">C30-C31+C32</f>
        <v>167</v>
      </c>
      <c r="D33" s="20" t="n">
        <f aca="false">D30-D31+D32</f>
        <v>183.81</v>
      </c>
      <c r="E33" s="20" t="n">
        <f aca="false">E30-E31+E32</f>
        <v>200.972144486301</v>
      </c>
      <c r="F33" s="20" t="n">
        <f aca="false">F30-F31+F32</f>
        <v>217.219183351002</v>
      </c>
      <c r="G33" s="20" t="n">
        <f aca="false">G30-G31+G32</f>
        <v>232.219923043301</v>
      </c>
      <c r="H33" s="20" t="n">
        <f aca="false">H30-H31+H32</f>
        <v>245.647303621726</v>
      </c>
    </row>
    <row r="34" customFormat="false" ht="15" hidden="false" customHeight="false" outlineLevel="0" collapsed="false">
      <c r="A34" s="7" t="s">
        <v>64</v>
      </c>
      <c r="B34" s="17" t="n">
        <v>34.5</v>
      </c>
      <c r="C34" s="17" t="n">
        <v>41.75</v>
      </c>
      <c r="D34" s="19" t="n">
        <f aca="false">D33*D12</f>
        <v>45.9525</v>
      </c>
      <c r="E34" s="19" t="n">
        <f aca="false">E33*E12</f>
        <v>50.2430361215754</v>
      </c>
      <c r="F34" s="19" t="n">
        <f aca="false">F33*F12</f>
        <v>54.3047958377504</v>
      </c>
      <c r="G34" s="19" t="n">
        <f aca="false">G33*G12</f>
        <v>58.0549807608252</v>
      </c>
      <c r="H34" s="19" t="n">
        <f aca="false">H33*H12</f>
        <v>61.4118259054314</v>
      </c>
    </row>
    <row r="35" customFormat="false" ht="15" hidden="false" customHeight="false" outlineLevel="0" collapsed="false">
      <c r="A35" s="9" t="s">
        <v>65</v>
      </c>
      <c r="B35" s="21" t="n">
        <f aca="false">B33-B34</f>
        <v>103.5</v>
      </c>
      <c r="C35" s="21" t="n">
        <f aca="false">C33-C34</f>
        <v>125.25</v>
      </c>
      <c r="D35" s="21" t="n">
        <f aca="false">D33-D34</f>
        <v>137.8575</v>
      </c>
      <c r="E35" s="21" t="n">
        <f aca="false">E33-E34</f>
        <v>150.729108364726</v>
      </c>
      <c r="F35" s="21" t="n">
        <f aca="false">F33-F34</f>
        <v>162.914387513251</v>
      </c>
      <c r="G35" s="21" t="n">
        <f aca="false">G33-G34</f>
        <v>174.164942282476</v>
      </c>
      <c r="H35" s="21" t="n">
        <f aca="false">H33-H34</f>
        <v>184.235477716294</v>
      </c>
    </row>
    <row r="36" customFormat="false" ht="15" hidden="false" customHeight="false" outlineLevel="0" collapsed="false">
      <c r="A36" s="7" t="s">
        <v>66</v>
      </c>
      <c r="B36" s="12" t="n">
        <f aca="false">B28/B24</f>
        <v>0.2</v>
      </c>
      <c r="C36" s="12" t="n">
        <f aca="false">C28/C24</f>
        <v>0.209090909090909</v>
      </c>
      <c r="D36" s="12" t="n">
        <f aca="false">D28/D24</f>
        <v>0.21</v>
      </c>
      <c r="E36" s="12" t="n">
        <f aca="false">E28/E24</f>
        <v>0.21</v>
      </c>
      <c r="F36" s="12" t="n">
        <f aca="false">F28/F24</f>
        <v>0.21</v>
      </c>
      <c r="G36" s="12" t="n">
        <f aca="false">G28/G24</f>
        <v>0.21</v>
      </c>
      <c r="H36" s="12" t="n">
        <f aca="false">H28/H24</f>
        <v>0.21</v>
      </c>
    </row>
    <row r="38" customFormat="false" ht="15" hidden="false" customHeight="false" outlineLevel="0" collapsed="false">
      <c r="A38" s="11" t="s">
        <v>67</v>
      </c>
      <c r="B38" s="11"/>
      <c r="C38" s="11"/>
      <c r="D38" s="11"/>
      <c r="E38" s="11"/>
      <c r="F38" s="11"/>
      <c r="G38" s="11"/>
      <c r="H38" s="11"/>
    </row>
    <row r="39" customFormat="false" ht="15" hidden="false" customHeight="false" outlineLevel="0" collapsed="false">
      <c r="A39" s="7" t="s">
        <v>68</v>
      </c>
      <c r="B39" s="17" t="n">
        <v>80</v>
      </c>
      <c r="C39" s="17" t="n">
        <v>95</v>
      </c>
      <c r="D39" s="19" t="n">
        <f aca="false">D71</f>
        <v>145.831482876712</v>
      </c>
      <c r="E39" s="19" t="n">
        <f aca="false">E71</f>
        <v>205.20504503339</v>
      </c>
      <c r="F39" s="19" t="n">
        <f aca="false">F71</f>
        <v>273.457981443351</v>
      </c>
      <c r="G39" s="19" t="n">
        <f aca="false">G71</f>
        <v>350.349089257522</v>
      </c>
      <c r="H39" s="19" t="n">
        <f aca="false">H71</f>
        <v>435.463866000737</v>
      </c>
    </row>
    <row r="40" customFormat="false" ht="15" hidden="false" customHeight="false" outlineLevel="0" collapsed="false">
      <c r="A40" s="7" t="s">
        <v>69</v>
      </c>
      <c r="B40" s="17" t="n">
        <v>137</v>
      </c>
      <c r="C40" s="17" t="n">
        <v>151</v>
      </c>
      <c r="D40" s="19" t="n">
        <f aca="false">D24*D13/365</f>
        <v>162.739726027397</v>
      </c>
      <c r="E40" s="19" t="n">
        <f aca="false">E24*E13/365</f>
        <v>174.131506849315</v>
      </c>
      <c r="F40" s="19" t="n">
        <f aca="false">F24*F13/365</f>
        <v>184.579397260274</v>
      </c>
      <c r="G40" s="19" t="n">
        <f aca="false">G24*G13/365</f>
        <v>193.808367123288</v>
      </c>
      <c r="H40" s="19" t="n">
        <f aca="false">H24*H13/365</f>
        <v>201.560701808219</v>
      </c>
    </row>
    <row r="41" customFormat="false" ht="15" hidden="false" customHeight="false" outlineLevel="0" collapsed="false">
      <c r="A41" s="7" t="s">
        <v>70</v>
      </c>
      <c r="B41" s="17" t="n">
        <v>99</v>
      </c>
      <c r="C41" s="17" t="n">
        <v>108</v>
      </c>
      <c r="D41" s="19" t="n">
        <f aca="false">D25*D14/365</f>
        <v>116.196164383562</v>
      </c>
      <c r="E41" s="19" t="n">
        <f aca="false">E25*E14/365</f>
        <v>124.329895890411</v>
      </c>
      <c r="F41" s="19" t="n">
        <f aca="false">F25*F14/365</f>
        <v>131.789689643836</v>
      </c>
      <c r="G41" s="19" t="n">
        <f aca="false">G25*G14/365</f>
        <v>138.379174126027</v>
      </c>
      <c r="H41" s="19" t="n">
        <f aca="false">H25*H14/365</f>
        <v>143.914341091069</v>
      </c>
    </row>
    <row r="42" customFormat="false" ht="15" hidden="false" customHeight="false" outlineLevel="0" collapsed="false">
      <c r="A42" s="7" t="s">
        <v>71</v>
      </c>
      <c r="B42" s="20" t="n">
        <f aca="false">SUM(B39:B41)</f>
        <v>316</v>
      </c>
      <c r="C42" s="20" t="n">
        <f aca="false">SUM(C39:C41)</f>
        <v>354</v>
      </c>
      <c r="D42" s="20" t="n">
        <f aca="false">SUM(D39:D41)</f>
        <v>424.767373287671</v>
      </c>
      <c r="E42" s="20" t="n">
        <f aca="false">SUM(E39:E41)</f>
        <v>503.666447773117</v>
      </c>
      <c r="F42" s="20" t="n">
        <f aca="false">SUM(F39:F41)</f>
        <v>589.827068347461</v>
      </c>
      <c r="G42" s="20" t="n">
        <f aca="false">SUM(G39:G41)</f>
        <v>682.536630506838</v>
      </c>
      <c r="H42" s="20" t="n">
        <f aca="false">SUM(H39:H41)</f>
        <v>780.938908900024</v>
      </c>
    </row>
    <row r="43" customFormat="false" ht="15" hidden="false" customHeight="false" outlineLevel="0" collapsed="false">
      <c r="A43" s="7" t="s">
        <v>72</v>
      </c>
      <c r="B43" s="17" t="n">
        <v>400</v>
      </c>
      <c r="C43" s="17" t="n">
        <v>420</v>
      </c>
      <c r="D43" s="19" t="n">
        <f aca="false">D77</f>
        <v>431.88</v>
      </c>
      <c r="E43" s="19" t="n">
        <f aca="false">E77</f>
        <v>444.5916</v>
      </c>
      <c r="F43" s="19" t="n">
        <f aca="false">F77</f>
        <v>458.065896</v>
      </c>
      <c r="G43" s="19" t="n">
        <f aca="false">G77</f>
        <v>472.2139068</v>
      </c>
      <c r="H43" s="19" t="n">
        <f aca="false">H77</f>
        <v>486.927838032</v>
      </c>
    </row>
    <row r="44" customFormat="false" ht="15" hidden="false" customHeight="false" outlineLevel="0" collapsed="false">
      <c r="A44" s="9" t="s">
        <v>73</v>
      </c>
      <c r="B44" s="21" t="n">
        <f aca="false">B42+B43</f>
        <v>716</v>
      </c>
      <c r="C44" s="21" t="n">
        <f aca="false">C42+C43</f>
        <v>774</v>
      </c>
      <c r="D44" s="21" t="n">
        <f aca="false">D42+D43</f>
        <v>856.647373287671</v>
      </c>
      <c r="E44" s="21" t="n">
        <f aca="false">E42+E43</f>
        <v>948.258047773117</v>
      </c>
      <c r="F44" s="21" t="n">
        <f aca="false">F42+F43</f>
        <v>1047.89296434746</v>
      </c>
      <c r="G44" s="21" t="n">
        <f aca="false">G42+G43</f>
        <v>1154.75053730684</v>
      </c>
      <c r="H44" s="21" t="n">
        <f aca="false">H42+H43</f>
        <v>1267.86674693202</v>
      </c>
    </row>
    <row r="46" customFormat="false" ht="15" hidden="false" customHeight="false" outlineLevel="0" collapsed="false">
      <c r="A46" s="7" t="s">
        <v>74</v>
      </c>
      <c r="B46" s="17" t="n">
        <v>74</v>
      </c>
      <c r="C46" s="17" t="n">
        <v>81</v>
      </c>
      <c r="D46" s="19" t="n">
        <f aca="false">D25*D15/365</f>
        <v>87.1471232876712</v>
      </c>
      <c r="E46" s="19" t="n">
        <f aca="false">E25*E15/365</f>
        <v>93.2474219178082</v>
      </c>
      <c r="F46" s="19" t="n">
        <f aca="false">F25*F15/365</f>
        <v>98.8422672328767</v>
      </c>
      <c r="G46" s="19" t="n">
        <f aca="false">G25*G15/365</f>
        <v>103.784380594521</v>
      </c>
      <c r="H46" s="19" t="n">
        <f aca="false">H25*H15/365</f>
        <v>107.935755818301</v>
      </c>
    </row>
    <row r="47" customFormat="false" ht="15" hidden="false" customHeight="false" outlineLevel="0" collapsed="false">
      <c r="A47" s="7" t="s">
        <v>75</v>
      </c>
      <c r="B47" s="17" t="n">
        <v>0</v>
      </c>
      <c r="C47" s="17" t="n">
        <v>0</v>
      </c>
      <c r="D47" s="19" t="n">
        <f aca="false">D86</f>
        <v>0</v>
      </c>
      <c r="E47" s="19" t="n">
        <f aca="false">E86</f>
        <v>0</v>
      </c>
      <c r="F47" s="19" t="n">
        <f aca="false">F86</f>
        <v>0</v>
      </c>
      <c r="G47" s="19" t="n">
        <f aca="false">G86</f>
        <v>0</v>
      </c>
      <c r="H47" s="19" t="n">
        <f aca="false">H86</f>
        <v>0</v>
      </c>
    </row>
    <row r="48" customFormat="false" ht="15" hidden="false" customHeight="false" outlineLevel="0" collapsed="false">
      <c r="A48" s="7" t="s">
        <v>76</v>
      </c>
      <c r="B48" s="17" t="n">
        <v>300</v>
      </c>
      <c r="C48" s="17" t="n">
        <v>280</v>
      </c>
      <c r="D48" s="19" t="n">
        <f aca="false">D81</f>
        <v>260</v>
      </c>
      <c r="E48" s="19" t="n">
        <f aca="false">E81</f>
        <v>240</v>
      </c>
      <c r="F48" s="19" t="n">
        <f aca="false">F81</f>
        <v>220</v>
      </c>
      <c r="G48" s="19" t="n">
        <f aca="false">G81</f>
        <v>200</v>
      </c>
      <c r="H48" s="19" t="n">
        <f aca="false">H81</f>
        <v>180</v>
      </c>
    </row>
    <row r="49" customFormat="false" ht="15" hidden="false" customHeight="false" outlineLevel="0" collapsed="false">
      <c r="A49" s="7" t="s">
        <v>77</v>
      </c>
      <c r="B49" s="20" t="n">
        <f aca="false">SUM(B46:B48)</f>
        <v>374</v>
      </c>
      <c r="C49" s="20" t="n">
        <f aca="false">SUM(C46:C48)</f>
        <v>361</v>
      </c>
      <c r="D49" s="20" t="n">
        <f aca="false">SUM(D46:D48)</f>
        <v>347.147123287671</v>
      </c>
      <c r="E49" s="20" t="n">
        <f aca="false">SUM(E46:E48)</f>
        <v>333.247421917808</v>
      </c>
      <c r="F49" s="20" t="n">
        <f aca="false">SUM(F46:F48)</f>
        <v>318.842267232877</v>
      </c>
      <c r="G49" s="20" t="n">
        <f aca="false">SUM(G46:G48)</f>
        <v>303.784380594521</v>
      </c>
      <c r="H49" s="20" t="n">
        <f aca="false">SUM(H46:H48)</f>
        <v>287.935755818301</v>
      </c>
    </row>
    <row r="50" customFormat="false" ht="15" hidden="false" customHeight="false" outlineLevel="0" collapsed="false">
      <c r="A50" s="7" t="s">
        <v>78</v>
      </c>
      <c r="B50" s="17" t="n">
        <v>150</v>
      </c>
      <c r="C50" s="17" t="n">
        <v>150</v>
      </c>
      <c r="D50" s="19" t="n">
        <f aca="false">C50</f>
        <v>150</v>
      </c>
      <c r="E50" s="19" t="n">
        <f aca="false">D50</f>
        <v>150</v>
      </c>
      <c r="F50" s="19" t="n">
        <f aca="false">E50</f>
        <v>150</v>
      </c>
      <c r="G50" s="19" t="n">
        <f aca="false">F50</f>
        <v>150</v>
      </c>
      <c r="H50" s="19" t="n">
        <f aca="false">G50</f>
        <v>150</v>
      </c>
    </row>
    <row r="51" customFormat="false" ht="15" hidden="false" customHeight="false" outlineLevel="0" collapsed="false">
      <c r="A51" s="7" t="s">
        <v>79</v>
      </c>
      <c r="B51" s="17" t="n">
        <v>192</v>
      </c>
      <c r="C51" s="17" t="n">
        <v>263</v>
      </c>
      <c r="D51" s="19" t="n">
        <f aca="false">C51+D35+D66</f>
        <v>359.50025</v>
      </c>
      <c r="E51" s="19" t="n">
        <f aca="false">D51+E35+E66</f>
        <v>465.010625855308</v>
      </c>
      <c r="F51" s="19" t="n">
        <f aca="false">E51+F35+F66</f>
        <v>579.050697114584</v>
      </c>
      <c r="G51" s="19" t="n">
        <f aca="false">F51+G35+G66</f>
        <v>700.966156712317</v>
      </c>
      <c r="H51" s="19" t="n">
        <f aca="false">G51+H35+H66</f>
        <v>829.930991113723</v>
      </c>
    </row>
    <row r="52" customFormat="false" ht="15" hidden="false" customHeight="false" outlineLevel="0" collapsed="false">
      <c r="A52" s="7" t="s">
        <v>80</v>
      </c>
      <c r="B52" s="20" t="n">
        <f aca="false">B50+B51</f>
        <v>342</v>
      </c>
      <c r="C52" s="20" t="n">
        <f aca="false">C50+C51</f>
        <v>413</v>
      </c>
      <c r="D52" s="20" t="n">
        <f aca="false">D50+D51</f>
        <v>509.50025</v>
      </c>
      <c r="E52" s="20" t="n">
        <f aca="false">E50+E51</f>
        <v>615.010625855308</v>
      </c>
      <c r="F52" s="20" t="n">
        <f aca="false">F50+F51</f>
        <v>729.050697114584</v>
      </c>
      <c r="G52" s="20" t="n">
        <f aca="false">G50+G51</f>
        <v>850.966156712317</v>
      </c>
      <c r="H52" s="20" t="n">
        <f aca="false">H50+H51</f>
        <v>979.930991113723</v>
      </c>
    </row>
    <row r="53" customFormat="false" ht="15" hidden="false" customHeight="false" outlineLevel="0" collapsed="false">
      <c r="A53" s="9" t="s">
        <v>81</v>
      </c>
      <c r="B53" s="21" t="n">
        <f aca="false">B49+B52</f>
        <v>716</v>
      </c>
      <c r="C53" s="21" t="n">
        <f aca="false">C49+C52</f>
        <v>774</v>
      </c>
      <c r="D53" s="21" t="n">
        <f aca="false">D49+D52</f>
        <v>856.647373287671</v>
      </c>
      <c r="E53" s="21" t="n">
        <f aca="false">E49+E52</f>
        <v>948.258047773116</v>
      </c>
      <c r="F53" s="21" t="n">
        <f aca="false">F49+F52</f>
        <v>1047.89296434746</v>
      </c>
      <c r="G53" s="21" t="n">
        <f aca="false">G49+G52</f>
        <v>1154.75053730684</v>
      </c>
      <c r="H53" s="21" t="n">
        <f aca="false">H49+H52</f>
        <v>1267.86674693202</v>
      </c>
    </row>
    <row r="54" customFormat="false" ht="15" hidden="false" customHeight="false" outlineLevel="0" collapsed="false">
      <c r="A54" s="9" t="s">
        <v>82</v>
      </c>
      <c r="B54" s="22" t="str">
        <f aca="false">IF(ABS(B44-B53)&lt;0.001,"OK","ERROR")</f>
        <v>OK</v>
      </c>
      <c r="C54" s="22" t="str">
        <f aca="false">IF(ABS(C44-C53)&lt;0.001,"OK","ERROR")</f>
        <v>OK</v>
      </c>
      <c r="D54" s="22" t="str">
        <f aca="false">IF(ABS(D44-D53)&lt;0.001,"OK","ERROR")</f>
        <v>OK</v>
      </c>
      <c r="E54" s="22" t="str">
        <f aca="false">IF(ABS(E44-E53)&lt;0.001,"OK","ERROR")</f>
        <v>OK</v>
      </c>
      <c r="F54" s="22" t="str">
        <f aca="false">IF(ABS(F44-F53)&lt;0.001,"OK","ERROR")</f>
        <v>OK</v>
      </c>
      <c r="G54" s="22" t="str">
        <f aca="false">IF(ABS(G44-G53)&lt;0.001,"OK","ERROR")</f>
        <v>OK</v>
      </c>
      <c r="H54" s="22" t="str">
        <f aca="false">IF(ABS(H44-H53)&lt;0.001,"OK","ERROR")</f>
        <v>OK</v>
      </c>
    </row>
    <row r="56" customFormat="false" ht="15" hidden="false" customHeight="false" outlineLevel="0" collapsed="false">
      <c r="A56" s="11" t="s">
        <v>83</v>
      </c>
      <c r="B56" s="11"/>
      <c r="C56" s="11"/>
      <c r="D56" s="11"/>
      <c r="E56" s="11"/>
      <c r="F56" s="11"/>
      <c r="G56" s="11"/>
      <c r="H56" s="11"/>
    </row>
    <row r="57" customFormat="false" ht="15" hidden="false" customHeight="false" outlineLevel="0" collapsed="false">
      <c r="A57" s="7" t="s">
        <v>65</v>
      </c>
      <c r="D57" s="19" t="n">
        <f aca="false">D35</f>
        <v>137.8575</v>
      </c>
      <c r="E57" s="19" t="n">
        <f aca="false">E35</f>
        <v>150.729108364726</v>
      </c>
      <c r="F57" s="19" t="n">
        <f aca="false">F35</f>
        <v>162.914387513251</v>
      </c>
      <c r="G57" s="19" t="n">
        <f aca="false">G35</f>
        <v>174.164942282476</v>
      </c>
      <c r="H57" s="19" t="n">
        <f aca="false">H35</f>
        <v>184.235477716294</v>
      </c>
    </row>
    <row r="58" customFormat="false" ht="15" hidden="false" customHeight="false" outlineLevel="0" collapsed="false">
      <c r="A58" s="7" t="s">
        <v>84</v>
      </c>
      <c r="D58" s="19" t="n">
        <f aca="false">D29</f>
        <v>47.52</v>
      </c>
      <c r="E58" s="19" t="n">
        <f aca="false">E29</f>
        <v>50.8464</v>
      </c>
      <c r="F58" s="19" t="n">
        <f aca="false">F29</f>
        <v>53.897184</v>
      </c>
      <c r="G58" s="19" t="n">
        <f aca="false">G29</f>
        <v>56.5920432</v>
      </c>
      <c r="H58" s="19" t="n">
        <f aca="false">H29</f>
        <v>58.855724928</v>
      </c>
    </row>
    <row r="59" customFormat="false" ht="15" hidden="false" customHeight="false" outlineLevel="0" collapsed="false">
      <c r="A59" s="7" t="s">
        <v>85</v>
      </c>
      <c r="D59" s="19" t="n">
        <f aca="false">C40-D40</f>
        <v>-11.7397260273973</v>
      </c>
      <c r="E59" s="19" t="n">
        <f aca="false">D40-E40</f>
        <v>-11.3917808219178</v>
      </c>
      <c r="F59" s="19" t="n">
        <f aca="false">E40-F40</f>
        <v>-10.4478904109589</v>
      </c>
      <c r="G59" s="19" t="n">
        <f aca="false">F40-G40</f>
        <v>-9.2289698630137</v>
      </c>
      <c r="H59" s="19" t="n">
        <f aca="false">G40-H40</f>
        <v>-7.75233468493153</v>
      </c>
    </row>
    <row r="60" customFormat="false" ht="15" hidden="false" customHeight="false" outlineLevel="0" collapsed="false">
      <c r="A60" s="7" t="s">
        <v>86</v>
      </c>
      <c r="D60" s="19" t="n">
        <f aca="false">C41-D41</f>
        <v>-8.19616438356164</v>
      </c>
      <c r="E60" s="19" t="n">
        <f aca="false">D41-E41</f>
        <v>-8.13373150684932</v>
      </c>
      <c r="F60" s="19" t="n">
        <f aca="false">E41-F41</f>
        <v>-7.45979375342468</v>
      </c>
      <c r="G60" s="19" t="n">
        <f aca="false">F41-G41</f>
        <v>-6.58948448219178</v>
      </c>
      <c r="H60" s="19" t="n">
        <f aca="false">G41-H41</f>
        <v>-5.5351669650411</v>
      </c>
    </row>
    <row r="61" customFormat="false" ht="15" hidden="false" customHeight="false" outlineLevel="0" collapsed="false">
      <c r="A61" s="7" t="s">
        <v>87</v>
      </c>
      <c r="D61" s="19" t="n">
        <f aca="false">D46-C46</f>
        <v>6.14712328767124</v>
      </c>
      <c r="E61" s="19" t="n">
        <f aca="false">E46-D46</f>
        <v>6.10029863013699</v>
      </c>
      <c r="F61" s="19" t="n">
        <f aca="false">F46-E46</f>
        <v>5.5948453150685</v>
      </c>
      <c r="G61" s="19" t="n">
        <f aca="false">G46-F46</f>
        <v>4.94211336164382</v>
      </c>
      <c r="H61" s="19" t="n">
        <f aca="false">H46-G46</f>
        <v>4.15137522378083</v>
      </c>
    </row>
    <row r="62" customFormat="false" ht="15" hidden="false" customHeight="false" outlineLevel="0" collapsed="false">
      <c r="A62" s="9" t="s">
        <v>88</v>
      </c>
      <c r="D62" s="21" t="n">
        <f aca="false">SUM(D57:D61)</f>
        <v>171.588732876712</v>
      </c>
      <c r="E62" s="21" t="n">
        <f aca="false">SUM(E57:E61)</f>
        <v>188.150294666096</v>
      </c>
      <c r="F62" s="21" t="n">
        <f aca="false">SUM(F57:F61)</f>
        <v>204.498732663936</v>
      </c>
      <c r="G62" s="21" t="n">
        <f aca="false">SUM(G57:G61)</f>
        <v>219.880644498914</v>
      </c>
      <c r="H62" s="21" t="n">
        <f aca="false">SUM(H57:H61)</f>
        <v>233.955076218102</v>
      </c>
    </row>
    <row r="63" customFormat="false" ht="15" hidden="false" customHeight="false" outlineLevel="0" collapsed="false">
      <c r="A63" s="7" t="s">
        <v>89</v>
      </c>
      <c r="D63" s="19" t="n">
        <f aca="false">-D75</f>
        <v>-59.4</v>
      </c>
      <c r="E63" s="19" t="n">
        <f aca="false">-E75</f>
        <v>-63.558</v>
      </c>
      <c r="F63" s="19" t="n">
        <f aca="false">-F75</f>
        <v>-67.37148</v>
      </c>
      <c r="G63" s="19" t="n">
        <f aca="false">-G75</f>
        <v>-70.740054</v>
      </c>
      <c r="H63" s="19" t="n">
        <f aca="false">-H75</f>
        <v>-73.56965616</v>
      </c>
    </row>
    <row r="64" customFormat="false" ht="15" hidden="false" customHeight="false" outlineLevel="0" collapsed="false">
      <c r="A64" s="9" t="s">
        <v>90</v>
      </c>
      <c r="D64" s="21" t="n">
        <f aca="false">D63</f>
        <v>-59.4</v>
      </c>
      <c r="E64" s="21" t="n">
        <f aca="false">E63</f>
        <v>-63.558</v>
      </c>
      <c r="F64" s="21" t="n">
        <f aca="false">F63</f>
        <v>-67.37148</v>
      </c>
      <c r="G64" s="21" t="n">
        <f aca="false">G63</f>
        <v>-70.740054</v>
      </c>
      <c r="H64" s="21" t="n">
        <f aca="false">H63</f>
        <v>-73.56965616</v>
      </c>
    </row>
    <row r="65" customFormat="false" ht="15" hidden="false" customHeight="false" outlineLevel="0" collapsed="false">
      <c r="A65" s="7" t="s">
        <v>91</v>
      </c>
      <c r="D65" s="19" t="n">
        <f aca="false">-D80</f>
        <v>-20</v>
      </c>
      <c r="E65" s="19" t="n">
        <f aca="false">-E80</f>
        <v>-20</v>
      </c>
      <c r="F65" s="19" t="n">
        <f aca="false">-F80</f>
        <v>-20</v>
      </c>
      <c r="G65" s="19" t="n">
        <f aca="false">-G80</f>
        <v>-20</v>
      </c>
      <c r="H65" s="19" t="n">
        <f aca="false">-H80</f>
        <v>-20</v>
      </c>
    </row>
    <row r="66" customFormat="false" ht="15" hidden="false" customHeight="false" outlineLevel="0" collapsed="false">
      <c r="A66" s="7" t="s">
        <v>92</v>
      </c>
      <c r="D66" s="19" t="n">
        <f aca="false">-MAX(0,D35)*D20</f>
        <v>-41.35725</v>
      </c>
      <c r="E66" s="19" t="n">
        <f aca="false">-MAX(0,E35)*E20</f>
        <v>-45.2187325094178</v>
      </c>
      <c r="F66" s="19" t="n">
        <f aca="false">-MAX(0,F35)*F20</f>
        <v>-48.8743162539754</v>
      </c>
      <c r="G66" s="19" t="n">
        <f aca="false">-MAX(0,G35)*G20</f>
        <v>-52.2494826847426</v>
      </c>
      <c r="H66" s="19" t="n">
        <f aca="false">-MAX(0,H35)*H20</f>
        <v>-55.2706433148883</v>
      </c>
    </row>
    <row r="67" customFormat="false" ht="15" hidden="false" customHeight="false" outlineLevel="0" collapsed="false">
      <c r="A67" s="7" t="s">
        <v>93</v>
      </c>
      <c r="D67" s="19" t="n">
        <f aca="false">D85</f>
        <v>-0</v>
      </c>
      <c r="E67" s="19" t="n">
        <f aca="false">E85</f>
        <v>-0</v>
      </c>
      <c r="F67" s="19" t="n">
        <f aca="false">F85</f>
        <v>-0</v>
      </c>
      <c r="G67" s="19" t="n">
        <f aca="false">G85</f>
        <v>-0</v>
      </c>
      <c r="H67" s="19" t="n">
        <f aca="false">H85</f>
        <v>-0</v>
      </c>
    </row>
    <row r="68" customFormat="false" ht="15" hidden="false" customHeight="false" outlineLevel="0" collapsed="false">
      <c r="A68" s="9" t="s">
        <v>94</v>
      </c>
      <c r="D68" s="21" t="n">
        <f aca="false">SUM(D65:D67)</f>
        <v>-61.35725</v>
      </c>
      <c r="E68" s="21" t="n">
        <f aca="false">SUM(E65:E67)</f>
        <v>-65.2187325094178</v>
      </c>
      <c r="F68" s="21" t="n">
        <f aca="false">SUM(F65:F67)</f>
        <v>-68.8743162539754</v>
      </c>
      <c r="G68" s="21" t="n">
        <f aca="false">SUM(G65:G67)</f>
        <v>-72.2494826847427</v>
      </c>
      <c r="H68" s="21" t="n">
        <f aca="false">SUM(H65:H67)</f>
        <v>-75.2706433148883</v>
      </c>
    </row>
    <row r="69" customFormat="false" ht="15" hidden="false" customHeight="false" outlineLevel="0" collapsed="false">
      <c r="A69" s="9" t="s">
        <v>95</v>
      </c>
      <c r="D69" s="18" t="n">
        <f aca="false">D62+D64+D68</f>
        <v>50.8314828767123</v>
      </c>
      <c r="E69" s="18" t="n">
        <f aca="false">E62+E64+E68</f>
        <v>59.3735621566781</v>
      </c>
      <c r="F69" s="18" t="n">
        <f aca="false">F62+F64+F68</f>
        <v>68.2529364099608</v>
      </c>
      <c r="G69" s="18" t="n">
        <f aca="false">G62+G64+G68</f>
        <v>76.8911078141712</v>
      </c>
      <c r="H69" s="18" t="n">
        <f aca="false">H62+H64+H68</f>
        <v>85.1147767432142</v>
      </c>
    </row>
    <row r="70" customFormat="false" ht="15" hidden="false" customHeight="false" outlineLevel="0" collapsed="false">
      <c r="A70" s="7" t="s">
        <v>96</v>
      </c>
      <c r="D70" s="19" t="n">
        <f aca="false">C39</f>
        <v>95</v>
      </c>
      <c r="E70" s="19" t="n">
        <f aca="false">D39</f>
        <v>145.831482876712</v>
      </c>
      <c r="F70" s="19" t="n">
        <f aca="false">E39</f>
        <v>205.20504503339</v>
      </c>
      <c r="G70" s="19" t="n">
        <f aca="false">F39</f>
        <v>273.457981443351</v>
      </c>
      <c r="H70" s="19" t="n">
        <f aca="false">G39</f>
        <v>350.349089257522</v>
      </c>
    </row>
    <row r="71" customFormat="false" ht="15" hidden="false" customHeight="false" outlineLevel="0" collapsed="false">
      <c r="A71" s="9" t="s">
        <v>97</v>
      </c>
      <c r="D71" s="21" t="n">
        <f aca="false">D70+D69</f>
        <v>145.831482876712</v>
      </c>
      <c r="E71" s="21" t="n">
        <f aca="false">E70+E69</f>
        <v>205.20504503339</v>
      </c>
      <c r="F71" s="21" t="n">
        <f aca="false">F70+F69</f>
        <v>273.457981443351</v>
      </c>
      <c r="G71" s="21" t="n">
        <f aca="false">G70+G69</f>
        <v>350.349089257522</v>
      </c>
      <c r="H71" s="21" t="n">
        <f aca="false">H70+H69</f>
        <v>435.463866000737</v>
      </c>
    </row>
    <row r="73" customFormat="false" ht="15" hidden="false" customHeight="false" outlineLevel="0" collapsed="false">
      <c r="A73" s="11" t="s">
        <v>98</v>
      </c>
      <c r="B73" s="11"/>
      <c r="C73" s="11"/>
      <c r="D73" s="11"/>
      <c r="E73" s="11"/>
      <c r="F73" s="11"/>
      <c r="G73" s="11"/>
      <c r="H73" s="11"/>
    </row>
    <row r="74" customFormat="false" ht="15" hidden="false" customHeight="false" outlineLevel="0" collapsed="false">
      <c r="A74" s="7" t="s">
        <v>99</v>
      </c>
      <c r="D74" s="19" t="n">
        <f aca="false">C43</f>
        <v>420</v>
      </c>
      <c r="E74" s="19" t="n">
        <f aca="false">D43</f>
        <v>431.88</v>
      </c>
      <c r="F74" s="19" t="n">
        <f aca="false">E43</f>
        <v>444.5916</v>
      </c>
      <c r="G74" s="19" t="n">
        <f aca="false">F43</f>
        <v>458.065896</v>
      </c>
      <c r="H74" s="19" t="n">
        <f aca="false">G43</f>
        <v>472.2139068</v>
      </c>
    </row>
    <row r="75" customFormat="false" ht="15" hidden="false" customHeight="false" outlineLevel="0" collapsed="false">
      <c r="A75" s="7" t="s">
        <v>100</v>
      </c>
      <c r="D75" s="19" t="n">
        <f aca="false">D24*D11</f>
        <v>59.4</v>
      </c>
      <c r="E75" s="19" t="n">
        <f aca="false">E24*E11</f>
        <v>63.558</v>
      </c>
      <c r="F75" s="19" t="n">
        <f aca="false">F24*F11</f>
        <v>67.37148</v>
      </c>
      <c r="G75" s="19" t="n">
        <f aca="false">G24*G11</f>
        <v>70.740054</v>
      </c>
      <c r="H75" s="19" t="n">
        <f aca="false">H24*H11</f>
        <v>73.56965616</v>
      </c>
    </row>
    <row r="76" customFormat="false" ht="15" hidden="false" customHeight="false" outlineLevel="0" collapsed="false">
      <c r="A76" s="7" t="s">
        <v>101</v>
      </c>
      <c r="D76" s="19" t="n">
        <f aca="false">D24*D10</f>
        <v>47.52</v>
      </c>
      <c r="E76" s="19" t="n">
        <f aca="false">E24*E10</f>
        <v>50.8464</v>
      </c>
      <c r="F76" s="19" t="n">
        <f aca="false">F24*F10</f>
        <v>53.897184</v>
      </c>
      <c r="G76" s="19" t="n">
        <f aca="false">G24*G10</f>
        <v>56.5920432</v>
      </c>
      <c r="H76" s="19" t="n">
        <f aca="false">H24*H10</f>
        <v>58.855724928</v>
      </c>
    </row>
    <row r="77" customFormat="false" ht="15" hidden="false" customHeight="false" outlineLevel="0" collapsed="false">
      <c r="A77" s="7" t="s">
        <v>102</v>
      </c>
      <c r="D77" s="20" t="n">
        <f aca="false">D74+D75-D76</f>
        <v>431.88</v>
      </c>
      <c r="E77" s="20" t="n">
        <f aca="false">E74+E75-E76</f>
        <v>444.5916</v>
      </c>
      <c r="F77" s="20" t="n">
        <f aca="false">F74+F75-F76</f>
        <v>458.065896</v>
      </c>
      <c r="G77" s="20" t="n">
        <f aca="false">G74+G75-G76</f>
        <v>472.2139068</v>
      </c>
      <c r="H77" s="20" t="n">
        <f aca="false">H74+H75-H76</f>
        <v>486.927838032</v>
      </c>
    </row>
    <row r="79" customFormat="false" ht="15" hidden="false" customHeight="false" outlineLevel="0" collapsed="false">
      <c r="A79" s="7" t="s">
        <v>103</v>
      </c>
      <c r="D79" s="19" t="n">
        <f aca="false">C48</f>
        <v>280</v>
      </c>
      <c r="E79" s="19" t="n">
        <f aca="false">D48</f>
        <v>260</v>
      </c>
      <c r="F79" s="19" t="n">
        <f aca="false">E48</f>
        <v>240</v>
      </c>
      <c r="G79" s="19" t="n">
        <f aca="false">F48</f>
        <v>220</v>
      </c>
      <c r="H79" s="19" t="n">
        <f aca="false">G48</f>
        <v>200</v>
      </c>
    </row>
    <row r="80" customFormat="false" ht="15" hidden="false" customHeight="false" outlineLevel="0" collapsed="false">
      <c r="A80" s="7" t="s">
        <v>104</v>
      </c>
      <c r="D80" s="19" t="n">
        <f aca="false">MIN(D79,D19)</f>
        <v>20</v>
      </c>
      <c r="E80" s="19" t="n">
        <f aca="false">MIN(E79,E19)</f>
        <v>20</v>
      </c>
      <c r="F80" s="19" t="n">
        <f aca="false">MIN(F79,F19)</f>
        <v>20</v>
      </c>
      <c r="G80" s="19" t="n">
        <f aca="false">MIN(G79,G19)</f>
        <v>20</v>
      </c>
      <c r="H80" s="19" t="n">
        <f aca="false">MIN(H79,H19)</f>
        <v>20</v>
      </c>
    </row>
    <row r="81" customFormat="false" ht="15" hidden="false" customHeight="false" outlineLevel="0" collapsed="false">
      <c r="A81" s="7" t="s">
        <v>105</v>
      </c>
      <c r="D81" s="20" t="n">
        <f aca="false">D79-D80</f>
        <v>260</v>
      </c>
      <c r="E81" s="20" t="n">
        <f aca="false">E79-E80</f>
        <v>240</v>
      </c>
      <c r="F81" s="20" t="n">
        <f aca="false">F79-F80</f>
        <v>220</v>
      </c>
      <c r="G81" s="20" t="n">
        <f aca="false">G79-G80</f>
        <v>200</v>
      </c>
      <c r="H81" s="20" t="n">
        <f aca="false">H79-H80</f>
        <v>180</v>
      </c>
    </row>
    <row r="83" customFormat="false" ht="15" hidden="false" customHeight="false" outlineLevel="0" collapsed="false">
      <c r="A83" s="7" t="s">
        <v>106</v>
      </c>
      <c r="D83" s="19" t="n">
        <f aca="false">D70+D62+D64+D65+D66</f>
        <v>145.831482876712</v>
      </c>
      <c r="E83" s="19" t="n">
        <f aca="false">E70+E62+E64+E65+E66</f>
        <v>205.20504503339</v>
      </c>
      <c r="F83" s="19" t="n">
        <f aca="false">F70+F62+F64+F65+F66</f>
        <v>273.457981443351</v>
      </c>
      <c r="G83" s="19" t="n">
        <f aca="false">G70+G62+G64+G65+G66</f>
        <v>350.349089257522</v>
      </c>
      <c r="H83" s="19" t="n">
        <f aca="false">H70+H62+H64+H65+H66</f>
        <v>435.463866000737</v>
      </c>
    </row>
    <row r="84" customFormat="false" ht="15" hidden="false" customHeight="false" outlineLevel="0" collapsed="false">
      <c r="A84" s="7" t="s">
        <v>107</v>
      </c>
      <c r="D84" s="19" t="n">
        <f aca="false">C47</f>
        <v>0</v>
      </c>
      <c r="E84" s="19" t="n">
        <f aca="false">D47</f>
        <v>0</v>
      </c>
      <c r="F84" s="19" t="n">
        <f aca="false">E47</f>
        <v>0</v>
      </c>
      <c r="G84" s="19" t="n">
        <f aca="false">F47</f>
        <v>0</v>
      </c>
      <c r="H84" s="19" t="n">
        <f aca="false">G47</f>
        <v>0</v>
      </c>
    </row>
    <row r="85" customFormat="false" ht="15" hidden="false" customHeight="false" outlineLevel="0" collapsed="false">
      <c r="A85" s="7" t="s">
        <v>108</v>
      </c>
      <c r="D85" s="19" t="n">
        <f aca="false">MAX(D21-D83,-D84)</f>
        <v>-0</v>
      </c>
      <c r="E85" s="19" t="n">
        <f aca="false">MAX(E21-E83,-E84)</f>
        <v>-0</v>
      </c>
      <c r="F85" s="19" t="n">
        <f aca="false">MAX(F21-F83,-F84)</f>
        <v>-0</v>
      </c>
      <c r="G85" s="19" t="n">
        <f aca="false">MAX(G21-G83,-G84)</f>
        <v>-0</v>
      </c>
      <c r="H85" s="19" t="n">
        <f aca="false">MAX(H21-H83,-H84)</f>
        <v>-0</v>
      </c>
    </row>
    <row r="86" customFormat="false" ht="15" hidden="false" customHeight="false" outlineLevel="0" collapsed="false">
      <c r="A86" s="7" t="s">
        <v>109</v>
      </c>
      <c r="D86" s="20" t="n">
        <f aca="false">D84+D85</f>
        <v>0</v>
      </c>
      <c r="E86" s="20" t="n">
        <f aca="false">E84+E85</f>
        <v>0</v>
      </c>
      <c r="F86" s="20" t="n">
        <f aca="false">F84+F85</f>
        <v>0</v>
      </c>
      <c r="G86" s="20" t="n">
        <f aca="false">G84+G85</f>
        <v>0</v>
      </c>
      <c r="H86" s="20" t="n">
        <f aca="false">H84+H85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2026-10-21T23:16:41Z</dcterms:created>
  <dc:creator>openpyxl</dc:creator>
  <dc:description/>
  <dc:language>en-US</dc:language>
  <cp:lastModifiedBy/>
  <dcterms:modified xsi:type="dcterms:W3CDTF">2026-10-21T23:16:41Z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